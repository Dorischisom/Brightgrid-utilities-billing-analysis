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9F813074-C1F7-468A-9A44-4B76CB3418C5}" xr6:coauthVersionLast="36" xr6:coauthVersionMax="36" xr10:uidLastSave="{00000000-0000-0000-0000-000000000000}"/>
  <bookViews>
    <workbookView xWindow="0" yWindow="0" windowWidth="19200" windowHeight="8250" activeTab="4" xr2:uid="{480F10FF-49FA-410E-9505-4385B3C53467}"/>
  </bookViews>
  <sheets>
    <sheet name="Customers_data" sheetId="2" r:id="rId1"/>
    <sheet name="Billings_data" sheetId="3" r:id="rId2"/>
    <sheet name="Payment_data" sheetId="4" r:id="rId3"/>
    <sheet name="Pivot_table" sheetId="7" r:id="rId4"/>
    <sheet name="Dashboard" sheetId="8" r:id="rId5"/>
  </sheets>
  <definedNames>
    <definedName name="_xlcn.WorksheetConnection_Customers_data_Cleaned.xlsxbilling" hidden="1">billing[]</definedName>
    <definedName name="_xlcn.WorksheetConnection_Customers_data_Cleaned.xlsxcustomers__1" hidden="1">customers__1[]</definedName>
    <definedName name="_xlcn.WorksheetConnection_Customers_data_Cleaned.xlsxpayments" hidden="1">payments[]</definedName>
    <definedName name="Average_days_to_pay">Pivot_table!$H$57</definedName>
    <definedName name="Collection_rate">Pivot_table!$F$43</definedName>
    <definedName name="ExternalData_1" localSheetId="1" hidden="1">Billings_data!$A$1:$J$1001</definedName>
    <definedName name="ExternalData_1" localSheetId="0" hidden="1">Customers_data!$A$1:$E$201</definedName>
    <definedName name="ExternalData_1" localSheetId="2" hidden="1">Payment_data!$A$1:$H$1001</definedName>
    <definedName name="Revenue_gap">Pivot_table!$E$43</definedName>
    <definedName name="Slicer_account_type">#N/A</definedName>
    <definedName name="Slicer_billing_year">#N/A</definedName>
    <definedName name="Slicer_payment_status">#N/A</definedName>
    <definedName name="Slicer_region">#N/A</definedName>
    <definedName name="Slicer_utility_type">#N/A</definedName>
    <definedName name="Table_Customer">Customers_data!$F$4</definedName>
    <definedName name="Total_amount_billed">Pivot_table!$K$28</definedName>
    <definedName name="Total_amount_paid">Pivot_table!$K$33</definedName>
    <definedName name="Total_customers">Pivot_table!$A$62</definedName>
    <definedName name="YoY_averagedays">Pivot_table!$F$55</definedName>
    <definedName name="YoY_collectionrate">Pivot_table!$F$54</definedName>
    <definedName name="YoY_revenuegap">Pivot_table!$F$53</definedName>
    <definedName name="YoY_TotalAmountbilled">Pivot_table!$F$51</definedName>
    <definedName name="YoY_totalamountpaid">Pivot_table!$F$52</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s>
  <extLst>
    <ext xmlns:x14="http://schemas.microsoft.com/office/spreadsheetml/2009/9/main" uri="{876F7934-8845-4945-9796-88D515C7AA90}">
      <x14:pivotCaches>
        <pivotCache cacheId="13"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ayments" name="payments" connection="WorksheetConnection_Customers_data_Cleaned.xlsx!payments"/>
          <x15:modelTable id="customers__1" name="customers__1" connection="WorksheetConnection_Customers_data_Cleaned.xlsx!customers__1"/>
          <x15:modelTable id="billing" name="billing" connection="WorksheetConnection_Customers_data_Cleaned.xlsx!billing"/>
        </x15:modelTables>
        <x15:modelRelationships>
          <x15:modelRelationship fromTable="billing" fromColumn="customer_id" toTable="customers__1" toColumn="customer_id"/>
          <x15:modelRelationship fromTable="payments" fromColumn="bill_id" toTable="billing" toColumn="bill_id"/>
        </x15:modelRelationships>
      </x15:dataModel>
    </ext>
  </extLst>
</workbook>
</file>

<file path=xl/calcChain.xml><?xml version="1.0" encoding="utf-8"?>
<calcChain xmlns="http://schemas.openxmlformats.org/spreadsheetml/2006/main">
  <c r="L49" i="7" l="1"/>
  <c r="L50" i="7"/>
  <c r="L51" i="7"/>
  <c r="M48" i="7"/>
  <c r="D55" i="7" l="1"/>
  <c r="C55" i="7"/>
  <c r="B55" i="7"/>
  <c r="M51" i="7"/>
  <c r="B54" i="7" s="1"/>
  <c r="M50" i="7"/>
  <c r="C54" i="7" s="1"/>
  <c r="M49" i="7"/>
  <c r="D54" i="7" s="1"/>
  <c r="B53" i="7"/>
  <c r="C53" i="7"/>
  <c r="D53" i="7"/>
  <c r="L48" i="7"/>
  <c r="D52" i="7"/>
  <c r="C52" i="7"/>
  <c r="B52" i="7"/>
  <c r="D51" i="7"/>
  <c r="C51" i="7"/>
  <c r="B51" i="7"/>
  <c r="F43" i="7"/>
  <c r="E43" i="7"/>
  <c r="E55" i="7" l="1"/>
  <c r="F55" i="7" s="1"/>
  <c r="E52" i="7"/>
  <c r="F52" i="7" s="1"/>
  <c r="E51" i="7"/>
  <c r="F51" i="7" s="1"/>
  <c r="E53" i="7"/>
  <c r="F53" i="7" s="1"/>
  <c r="E54" i="7"/>
  <c r="F54"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8D3ABF-C747-4A4C-AF4D-B58011F8EAA6}" keepAlive="1" name="Query - billing" description="Connection to the 'billing' query in the workbook." type="5" refreshedVersion="6" background="1" saveData="1">
    <dbPr connection="Provider=Microsoft.Mashup.OleDb.1;Data Source=$Workbook$;Location=billing;Extended Properties=&quot;&quot;" command="SELECT * FROM [billing]"/>
  </connection>
  <connection id="2" xr16:uid="{C584DF7C-9ABE-49F3-B7A2-AA7990D6563D}" keepAlive="1" name="Query - customers (1)" description="Connection to the 'customers (1)' query in the workbook." type="5" refreshedVersion="6" background="1" saveData="1">
    <dbPr connection="Provider=Microsoft.Mashup.OleDb.1;Data Source=$Workbook$;Location=customers (1);Extended Properties=&quot;&quot;" command="SELECT * FROM [customers (1)]"/>
  </connection>
  <connection id="3" xr16:uid="{54071EEB-8BE6-4556-A733-27515250ED30}" keepAlive="1" name="Query - payments" description="Connection to the 'payments' query in the workbook." type="5" refreshedVersion="6" background="1" saveData="1">
    <dbPr connection="Provider=Microsoft.Mashup.OleDb.1;Data Source=$Workbook$;Location=payments;Extended Properties=&quot;&quot;" command="SELECT * FROM [payments]"/>
  </connection>
  <connection id="4" xr16:uid="{377A77CA-F0B5-4B1E-B41C-C4B3CE74F11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A4A090E7-B467-407C-A2BA-6033FAFD9A00}" name="WorksheetConnection_Customers_data_Cleaned.xlsx!billing" type="102" refreshedVersion="6" minRefreshableVersion="5">
    <extLst>
      <ext xmlns:x15="http://schemas.microsoft.com/office/spreadsheetml/2010/11/main" uri="{DE250136-89BD-433C-8126-D09CA5730AF9}">
        <x15:connection id="billing">
          <x15:rangePr sourceName="_xlcn.WorksheetConnection_Customers_data_Cleaned.xlsxbilling"/>
        </x15:connection>
      </ext>
    </extLst>
  </connection>
  <connection id="6" xr16:uid="{409FAF73-2AC3-4276-8F3B-E62EFAD79C96}" name="WorksheetConnection_Customers_data_Cleaned.xlsx!customers__1" type="102" refreshedVersion="6" minRefreshableVersion="5">
    <extLst>
      <ext xmlns:x15="http://schemas.microsoft.com/office/spreadsheetml/2010/11/main" uri="{DE250136-89BD-433C-8126-D09CA5730AF9}">
        <x15:connection id="customers__1">
          <x15:rangePr sourceName="_xlcn.WorksheetConnection_Customers_data_Cleaned.xlsxcustomers__1"/>
        </x15:connection>
      </ext>
    </extLst>
  </connection>
  <connection id="7" xr16:uid="{8F9CBA9D-77E0-4390-A780-B2EB90510269}" name="WorksheetConnection_Customers_data_Cleaned.xlsx!payments" type="102" refreshedVersion="6" minRefreshableVersion="5">
    <extLst>
      <ext xmlns:x15="http://schemas.microsoft.com/office/spreadsheetml/2010/11/main" uri="{DE250136-89BD-433C-8126-D09CA5730AF9}">
        <x15:connection id="payments">
          <x15:rangePr sourceName="_xlcn.WorksheetConnection_Customers_data_Cleaned.xlsxpayments"/>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payments].[payment_status].[All]}"/>
  </metadataStrings>
  <mdxMetadata count="1">
    <mdx n="0" f="s">
      <ms ns="1" c="0"/>
    </mdx>
  </mdxMetadata>
  <valueMetadata count="1">
    <bk>
      <rc t="1" v="0"/>
    </bk>
  </valueMetadata>
</metadata>
</file>

<file path=xl/sharedStrings.xml><?xml version="1.0" encoding="utf-8"?>
<sst xmlns="http://schemas.openxmlformats.org/spreadsheetml/2006/main" count="9941" uniqueCount="2426">
  <si>
    <t>customer_id</t>
  </si>
  <si>
    <t>customer_name</t>
  </si>
  <si>
    <t>region</t>
  </si>
  <si>
    <t>account_type</t>
  </si>
  <si>
    <t>join_date</t>
  </si>
  <si>
    <t>CUST-0057</t>
  </si>
  <si>
    <t>William Johnson</t>
  </si>
  <si>
    <t>Bristol</t>
  </si>
  <si>
    <t>Residential</t>
  </si>
  <si>
    <t>CUST-0076</t>
  </si>
  <si>
    <t>Lily Davies</t>
  </si>
  <si>
    <t>Edinburgh</t>
  </si>
  <si>
    <t>CUST-0138</t>
  </si>
  <si>
    <t>Ella Thompson</t>
  </si>
  <si>
    <t>Manchester</t>
  </si>
  <si>
    <t>CUST-0144</t>
  </si>
  <si>
    <t>Sophie Jones</t>
  </si>
  <si>
    <t>Industrial</t>
  </si>
  <si>
    <t>CUST-0001</t>
  </si>
  <si>
    <t>Isla Smith</t>
  </si>
  <si>
    <t>Leeds</t>
  </si>
  <si>
    <t>CUST-0151</t>
  </si>
  <si>
    <t>Harry Wright</t>
  </si>
  <si>
    <t>CUST-0092</t>
  </si>
  <si>
    <t>Thomas Walker</t>
  </si>
  <si>
    <t>Birmingham</t>
  </si>
  <si>
    <t>CUST-0036</t>
  </si>
  <si>
    <t>Mia Johnson</t>
  </si>
  <si>
    <t>CUST-0123</t>
  </si>
  <si>
    <t>Oliver Johnson</t>
  </si>
  <si>
    <t>Sheffield</t>
  </si>
  <si>
    <t>Commercial</t>
  </si>
  <si>
    <t>CUST-0008</t>
  </si>
  <si>
    <t>Amelia Johnson</t>
  </si>
  <si>
    <t>Glasgow</t>
  </si>
  <si>
    <t>CUST-0109</t>
  </si>
  <si>
    <t>Joshua Evans</t>
  </si>
  <si>
    <t>CUST-0073</t>
  </si>
  <si>
    <t>Emily Thompson</t>
  </si>
  <si>
    <t>CUST-0156</t>
  </si>
  <si>
    <t>Poppy White</t>
  </si>
  <si>
    <t>CUST-0023</t>
  </si>
  <si>
    <t>Mia Wright</t>
  </si>
  <si>
    <t>CUST-0033</t>
  </si>
  <si>
    <t>George Wilson</t>
  </si>
  <si>
    <t>CUST-0034</t>
  </si>
  <si>
    <t>Emily Williams</t>
  </si>
  <si>
    <t>CUST-0187</t>
  </si>
  <si>
    <t>James Wright</t>
  </si>
  <si>
    <t>CUST-0004</t>
  </si>
  <si>
    <t>Thomas Roberts</t>
  </si>
  <si>
    <t>London</t>
  </si>
  <si>
    <t>CUST-0171</t>
  </si>
  <si>
    <t>Joshua Brown</t>
  </si>
  <si>
    <t>CUST-0127</t>
  </si>
  <si>
    <t>Isla Wilson</t>
  </si>
  <si>
    <t>CUST-0042</t>
  </si>
  <si>
    <t>Grace Wilson</t>
  </si>
  <si>
    <t>CUST-0157</t>
  </si>
  <si>
    <t>Thomas White</t>
  </si>
  <si>
    <t>CUST-0002</t>
  </si>
  <si>
    <t>Mia Jones</t>
  </si>
  <si>
    <t>CUST-0009</t>
  </si>
  <si>
    <t>Charlie Wilson</t>
  </si>
  <si>
    <t>CUST-0103</t>
  </si>
  <si>
    <t>Henry Wright</t>
  </si>
  <si>
    <t>CUST-0200</t>
  </si>
  <si>
    <t>Harry Brown</t>
  </si>
  <si>
    <t>CUST-0026</t>
  </si>
  <si>
    <t>James Smith</t>
  </si>
  <si>
    <t>CUST-0007</t>
  </si>
  <si>
    <t>William Jones</t>
  </si>
  <si>
    <t>CUST-0032</t>
  </si>
  <si>
    <t>Mia Wilson</t>
  </si>
  <si>
    <t>CUST-0006</t>
  </si>
  <si>
    <t>Charlotte Thompson</t>
  </si>
  <si>
    <t>CUST-0061</t>
  </si>
  <si>
    <t>James Roberts</t>
  </si>
  <si>
    <t>CUST-0053</t>
  </si>
  <si>
    <t>Oliver Williams</t>
  </si>
  <si>
    <t>CUST-0181</t>
  </si>
  <si>
    <t>Isla Roberts</t>
  </si>
  <si>
    <t>CUST-0046</t>
  </si>
  <si>
    <t>Mia Williams</t>
  </si>
  <si>
    <t>CUST-0030</t>
  </si>
  <si>
    <t>CUST-0062</t>
  </si>
  <si>
    <t>CUST-0037</t>
  </si>
  <si>
    <t>Henry Walker</t>
  </si>
  <si>
    <t>CUST-0059</t>
  </si>
  <si>
    <t>Joshua Jones</t>
  </si>
  <si>
    <t>CUST-0064</t>
  </si>
  <si>
    <t>Unknown</t>
  </si>
  <si>
    <t>CUST-0031</t>
  </si>
  <si>
    <t>CUST-0089</t>
  </si>
  <si>
    <t>Emily Jones</t>
  </si>
  <si>
    <t>CUST-0067</t>
  </si>
  <si>
    <t>Emily Wright</t>
  </si>
  <si>
    <t>CUST-0035</t>
  </si>
  <si>
    <t>William Smith</t>
  </si>
  <si>
    <t>CUST-0177</t>
  </si>
  <si>
    <t>Charlie Davies</t>
  </si>
  <si>
    <t>CUST-0048</t>
  </si>
  <si>
    <t>Oliver Davies</t>
  </si>
  <si>
    <t>CUST-0060</t>
  </si>
  <si>
    <t>Oliver Thomas</t>
  </si>
  <si>
    <t>CUST-0097</t>
  </si>
  <si>
    <t>CUST-0159</t>
  </si>
  <si>
    <t>Charlotte Johnson</t>
  </si>
  <si>
    <t>CUST-0056</t>
  </si>
  <si>
    <t>William Davies</t>
  </si>
  <si>
    <t>CUST-0069</t>
  </si>
  <si>
    <t>CUST-0189</t>
  </si>
  <si>
    <t>Thomas Evans</t>
  </si>
  <si>
    <t>CUST-0170</t>
  </si>
  <si>
    <t>Henry Jones</t>
  </si>
  <si>
    <t>CUST-0136</t>
  </si>
  <si>
    <t>Harry Evans</t>
  </si>
  <si>
    <t>CUST-0079</t>
  </si>
  <si>
    <t>Ella Taylor</t>
  </si>
  <si>
    <t>CUST-0106</t>
  </si>
  <si>
    <t>Ella Wilson</t>
  </si>
  <si>
    <t>CUST-0137</t>
  </si>
  <si>
    <t>Poppy Walker</t>
  </si>
  <si>
    <t>CUST-0058</t>
  </si>
  <si>
    <t>Henry Brown</t>
  </si>
  <si>
    <t>CUST-0052</t>
  </si>
  <si>
    <t>Mia White</t>
  </si>
  <si>
    <t>CUST-0126</t>
  </si>
  <si>
    <t>Emily Walker</t>
  </si>
  <si>
    <t>CUST-0050</t>
  </si>
  <si>
    <t>Charlotte Roberts</t>
  </si>
  <si>
    <t>CUST-0190</t>
  </si>
  <si>
    <t>Henry Wilson</t>
  </si>
  <si>
    <t>CUST-0054</t>
  </si>
  <si>
    <t>Isla Evans</t>
  </si>
  <si>
    <t>CUST-0191</t>
  </si>
  <si>
    <t>Amelia Smith</t>
  </si>
  <si>
    <t>CUST-0021</t>
  </si>
  <si>
    <t>CUST-0107</t>
  </si>
  <si>
    <t>George Evans</t>
  </si>
  <si>
    <t>CUST-0102</t>
  </si>
  <si>
    <t>CUST-0150</t>
  </si>
  <si>
    <t>Charlotte Walker</t>
  </si>
  <si>
    <t>CUST-0082</t>
  </si>
  <si>
    <t>Thomas Williams</t>
  </si>
  <si>
    <t>CUST-0005</t>
  </si>
  <si>
    <t>Harry Taylor</t>
  </si>
  <si>
    <t>CUST-0141</t>
  </si>
  <si>
    <t>CUST-0070</t>
  </si>
  <si>
    <t>Joshua Wilson</t>
  </si>
  <si>
    <t>CUST-0128</t>
  </si>
  <si>
    <t>Charlie Evans</t>
  </si>
  <si>
    <t>CUST-0013</t>
  </si>
  <si>
    <t>Charlie Jones</t>
  </si>
  <si>
    <t>CUST-0038</t>
  </si>
  <si>
    <t>Joshua White</t>
  </si>
  <si>
    <t>CUST-0178</t>
  </si>
  <si>
    <t>Lily Jones</t>
  </si>
  <si>
    <t>CUST-0120</t>
  </si>
  <si>
    <t>Ella Jones</t>
  </si>
  <si>
    <t>CUST-0192</t>
  </si>
  <si>
    <t>CUST-0029</t>
  </si>
  <si>
    <t>CUST-0131</t>
  </si>
  <si>
    <t>CUST-0063</t>
  </si>
  <si>
    <t>CUST-0044</t>
  </si>
  <si>
    <t>Charlotte Brown</t>
  </si>
  <si>
    <t>CUST-0028</t>
  </si>
  <si>
    <t>Charlie Johnson</t>
  </si>
  <si>
    <t>CUST-0172</t>
  </si>
  <si>
    <t>CUST-0104</t>
  </si>
  <si>
    <t>Charlotte Williams</t>
  </si>
  <si>
    <t>CUST-0140</t>
  </si>
  <si>
    <t>Oliver Smith</t>
  </si>
  <si>
    <t>CUST-0003</t>
  </si>
  <si>
    <t>Joshua Roberts</t>
  </si>
  <si>
    <t>CUST-0047</t>
  </si>
  <si>
    <t>Charlie Thomas</t>
  </si>
  <si>
    <t>CUST-0066</t>
  </si>
  <si>
    <t>George Brown</t>
  </si>
  <si>
    <t>CUST-0055</t>
  </si>
  <si>
    <t>Grace Thompson</t>
  </si>
  <si>
    <t>CUST-0098</t>
  </si>
  <si>
    <t>Ella Thomas</t>
  </si>
  <si>
    <t>CUST-0101</t>
  </si>
  <si>
    <t>Thomas Brown</t>
  </si>
  <si>
    <t>CUST-0012</t>
  </si>
  <si>
    <t>James Thompson</t>
  </si>
  <si>
    <t>CUST-0068</t>
  </si>
  <si>
    <t>CUST-0186</t>
  </si>
  <si>
    <t>Joshua Taylor</t>
  </si>
  <si>
    <t>CUST-0176</t>
  </si>
  <si>
    <t>CUST-0111</t>
  </si>
  <si>
    <t>George Williams</t>
  </si>
  <si>
    <t>CUST-0143</t>
  </si>
  <si>
    <t>CUST-0108</t>
  </si>
  <si>
    <t>George Taylor</t>
  </si>
  <si>
    <t>CUST-0167</t>
  </si>
  <si>
    <t>Charlie Wright</t>
  </si>
  <si>
    <t>CUST-0198</t>
  </si>
  <si>
    <t>Grace Walker</t>
  </si>
  <si>
    <t>CUST-0196</t>
  </si>
  <si>
    <t>Sophie Wright</t>
  </si>
  <si>
    <t>CUST-0072</t>
  </si>
  <si>
    <t>Lily Thompson</t>
  </si>
  <si>
    <t>CUST-0081</t>
  </si>
  <si>
    <t>William Roberts</t>
  </si>
  <si>
    <t>CUST-0118</t>
  </si>
  <si>
    <t>Oliver Jones</t>
  </si>
  <si>
    <t>CUST-0184</t>
  </si>
  <si>
    <t>Charlie Walker</t>
  </si>
  <si>
    <t>CUST-0077</t>
  </si>
  <si>
    <t>CUST-0133</t>
  </si>
  <si>
    <t>CUST-0051</t>
  </si>
  <si>
    <t>Amelia White</t>
  </si>
  <si>
    <t>CUST-0154</t>
  </si>
  <si>
    <t>George Wright</t>
  </si>
  <si>
    <t>CUST-0090</t>
  </si>
  <si>
    <t>CUST-0084</t>
  </si>
  <si>
    <t>Oliver Walker</t>
  </si>
  <si>
    <t>CUST-0040</t>
  </si>
  <si>
    <t>Henry Roberts</t>
  </si>
  <si>
    <t>CUST-0173</t>
  </si>
  <si>
    <t>Harry Jones</t>
  </si>
  <si>
    <t>CUST-0182</t>
  </si>
  <si>
    <t>Isla Davies</t>
  </si>
  <si>
    <t>CUST-0125</t>
  </si>
  <si>
    <t>Harry White</t>
  </si>
  <si>
    <t>CUST-0075</t>
  </si>
  <si>
    <t>Harry Williams</t>
  </si>
  <si>
    <t>CUST-0148</t>
  </si>
  <si>
    <t>Emily Roberts</t>
  </si>
  <si>
    <t>CUST-0043</t>
  </si>
  <si>
    <t>Isla Jones</t>
  </si>
  <si>
    <t>CUST-0174</t>
  </si>
  <si>
    <t>Thomas Thomas</t>
  </si>
  <si>
    <t>CUST-0112</t>
  </si>
  <si>
    <t>Poppy Wilson</t>
  </si>
  <si>
    <t>CUST-0188</t>
  </si>
  <si>
    <t>Poppy Smith</t>
  </si>
  <si>
    <t>CUST-0117</t>
  </si>
  <si>
    <t>Thomas Jones</t>
  </si>
  <si>
    <t>CUST-0124</t>
  </si>
  <si>
    <t>CUST-0132</t>
  </si>
  <si>
    <t>Mia Evans</t>
  </si>
  <si>
    <t>CUST-0110</t>
  </si>
  <si>
    <t>CUST-0093</t>
  </si>
  <si>
    <t>Poppy Wright</t>
  </si>
  <si>
    <t>CUST-0065</t>
  </si>
  <si>
    <t>James Wilson</t>
  </si>
  <si>
    <t>CUST-0139</t>
  </si>
  <si>
    <t>CUST-0168</t>
  </si>
  <si>
    <t>CUST-0025</t>
  </si>
  <si>
    <t>Charlotte Wilson</t>
  </si>
  <si>
    <t>CUST-0085</t>
  </si>
  <si>
    <t>Oliver Taylor</t>
  </si>
  <si>
    <t>CUST-0017</t>
  </si>
  <si>
    <t>Poppy Jones</t>
  </si>
  <si>
    <t>CUST-0086</t>
  </si>
  <si>
    <t>Ella Johnson</t>
  </si>
  <si>
    <t>CUST-0014</t>
  </si>
  <si>
    <t>CUST-0087</t>
  </si>
  <si>
    <t>Poppy Roberts</t>
  </si>
  <si>
    <t>CUST-0105</t>
  </si>
  <si>
    <t>CUST-0100</t>
  </si>
  <si>
    <t>Henry Davies</t>
  </si>
  <si>
    <t>CUST-0096</t>
  </si>
  <si>
    <t>James Williams</t>
  </si>
  <si>
    <t>CUST-0094</t>
  </si>
  <si>
    <t>CUST-0041</t>
  </si>
  <si>
    <t>James White</t>
  </si>
  <si>
    <t>CUST-0134</t>
  </si>
  <si>
    <t>William Evans</t>
  </si>
  <si>
    <t>CUST-0135</t>
  </si>
  <si>
    <t>CUST-0146</t>
  </si>
  <si>
    <t>CUST-0193</t>
  </si>
  <si>
    <t>Emily Thomas</t>
  </si>
  <si>
    <t>CUST-0164</t>
  </si>
  <si>
    <t>CUST-0045</t>
  </si>
  <si>
    <t>Mia Brown</t>
  </si>
  <si>
    <t>CUST-0169</t>
  </si>
  <si>
    <t>Lily Thomas</t>
  </si>
  <si>
    <t>CUST-0022</t>
  </si>
  <si>
    <t>Grace Taylor</t>
  </si>
  <si>
    <t>CUST-0088</t>
  </si>
  <si>
    <t>Oliver White</t>
  </si>
  <si>
    <t>CUST-0027</t>
  </si>
  <si>
    <t>Amelia Taylor</t>
  </si>
  <si>
    <t>CUST-0199</t>
  </si>
  <si>
    <t>Isla Thomas</t>
  </si>
  <si>
    <t>CUST-0016</t>
  </si>
  <si>
    <t>CUST-0194</t>
  </si>
  <si>
    <t>Lily Smith</t>
  </si>
  <si>
    <t>CUST-0129</t>
  </si>
  <si>
    <t>William Taylor</t>
  </si>
  <si>
    <t>CUST-0122</t>
  </si>
  <si>
    <t>CUST-0155</t>
  </si>
  <si>
    <t>Charlie Roberts</t>
  </si>
  <si>
    <t>CUST-0197</t>
  </si>
  <si>
    <t>Isla Taylor</t>
  </si>
  <si>
    <t>CUST-0049</t>
  </si>
  <si>
    <t>CUST-0147</t>
  </si>
  <si>
    <t>CUST-0179</t>
  </si>
  <si>
    <t>Mia Thomas</t>
  </si>
  <si>
    <t>CUST-0011</t>
  </si>
  <si>
    <t>CUST-0142</t>
  </si>
  <si>
    <t>CUST-0180</t>
  </si>
  <si>
    <t>CUST-0099</t>
  </si>
  <si>
    <t>CUST-0183</t>
  </si>
  <si>
    <t>CUST-0153</t>
  </si>
  <si>
    <t>CUST-0158</t>
  </si>
  <si>
    <t>CUST-0024</t>
  </si>
  <si>
    <t>Poppy Evans</t>
  </si>
  <si>
    <t>CUST-0166</t>
  </si>
  <si>
    <t>CUST-0020</t>
  </si>
  <si>
    <t>CUST-0074</t>
  </si>
  <si>
    <t>George Walker</t>
  </si>
  <si>
    <t>CUST-0095</t>
  </si>
  <si>
    <t>CUST-0185</t>
  </si>
  <si>
    <t>Harry Roberts</t>
  </si>
  <si>
    <t>CUST-0010</t>
  </si>
  <si>
    <t>CUST-0116</t>
  </si>
  <si>
    <t>CUST-0119</t>
  </si>
  <si>
    <t>Sophie Wilson</t>
  </si>
  <si>
    <t>CUST-0080</t>
  </si>
  <si>
    <t>William Walker</t>
  </si>
  <si>
    <t>CUST-0019</t>
  </si>
  <si>
    <t>Lily Williams</t>
  </si>
  <si>
    <t>CUST-0130</t>
  </si>
  <si>
    <t>CUST-0091</t>
  </si>
  <si>
    <t>CUST-0015</t>
  </si>
  <si>
    <t>Henry Evans</t>
  </si>
  <si>
    <t>CUST-0152</t>
  </si>
  <si>
    <t>Sophie Brown</t>
  </si>
  <si>
    <t>CUST-0071</t>
  </si>
  <si>
    <t>Thomas Johnson</t>
  </si>
  <si>
    <t>CUST-0078</t>
  </si>
  <si>
    <t>William Thompson</t>
  </si>
  <si>
    <t>CUST-0162</t>
  </si>
  <si>
    <t>CUST-0114</t>
  </si>
  <si>
    <t>Jack Evans</t>
  </si>
  <si>
    <t>CUST-0121</t>
  </si>
  <si>
    <t>Sophie Davies</t>
  </si>
  <si>
    <t>CUST-0018</t>
  </si>
  <si>
    <t>CUST-0113</t>
  </si>
  <si>
    <t>CUST-0039</t>
  </si>
  <si>
    <t>CUST-0161</t>
  </si>
  <si>
    <t>Jack Wilson</t>
  </si>
  <si>
    <t>CUST-0083</t>
  </si>
  <si>
    <t>CUST-0160</t>
  </si>
  <si>
    <t>Isla Thompson</t>
  </si>
  <si>
    <t>CUST-0163</t>
  </si>
  <si>
    <t>CUST-0165</t>
  </si>
  <si>
    <t>George Thompson</t>
  </si>
  <si>
    <t>CUST-0145</t>
  </si>
  <si>
    <t>CUST-0175</t>
  </si>
  <si>
    <t>Mia Walker</t>
  </si>
  <si>
    <t>CUST-0115</t>
  </si>
  <si>
    <t>CUST-0149</t>
  </si>
  <si>
    <t>Harry Johnson</t>
  </si>
  <si>
    <t>CUST-0195</t>
  </si>
  <si>
    <t>bill_id</t>
  </si>
  <si>
    <t>utility_type</t>
  </si>
  <si>
    <t>billing_month</t>
  </si>
  <si>
    <t>billing_month.name</t>
  </si>
  <si>
    <t>billing_year</t>
  </si>
  <si>
    <t>units_consumed</t>
  </si>
  <si>
    <t>unit_rate</t>
  </si>
  <si>
    <t>amount_billed</t>
  </si>
  <si>
    <t>data_flag</t>
  </si>
  <si>
    <t>BILL-0254</t>
  </si>
  <si>
    <t>Water</t>
  </si>
  <si>
    <t>Nov</t>
  </si>
  <si>
    <t/>
  </si>
  <si>
    <t>BILL-0170</t>
  </si>
  <si>
    <t>Gas</t>
  </si>
  <si>
    <t>Jul</t>
  </si>
  <si>
    <t>BILL-0134</t>
  </si>
  <si>
    <t>Aug</t>
  </si>
  <si>
    <t>BILL-0608</t>
  </si>
  <si>
    <t>Jun</t>
  </si>
  <si>
    <t>BILL-0174</t>
  </si>
  <si>
    <t>Jan</t>
  </si>
  <si>
    <t>BILL-0993</t>
  </si>
  <si>
    <t>BILL-0772</t>
  </si>
  <si>
    <t>Electricity</t>
  </si>
  <si>
    <t>BILL-0717</t>
  </si>
  <si>
    <t>BILL-0205</t>
  </si>
  <si>
    <t>Oct</t>
  </si>
  <si>
    <t>BILL-0317</t>
  </si>
  <si>
    <t>Feb</t>
  </si>
  <si>
    <t>BILL-0390</t>
  </si>
  <si>
    <t>Mar</t>
  </si>
  <si>
    <t>BILL-0733</t>
  </si>
  <si>
    <t>BILL-0351</t>
  </si>
  <si>
    <t>Apr</t>
  </si>
  <si>
    <t>BILL-0232</t>
  </si>
  <si>
    <t>BILL-0023</t>
  </si>
  <si>
    <t>BILL-0176</t>
  </si>
  <si>
    <t>BILL-0159</t>
  </si>
  <si>
    <t>BILL-0614</t>
  </si>
  <si>
    <t>BILL-0915</t>
  </si>
  <si>
    <t>BILL-0122</t>
  </si>
  <si>
    <t>BILL-0739</t>
  </si>
  <si>
    <t>Sep</t>
  </si>
  <si>
    <t>BILL-0977</t>
  </si>
  <si>
    <t>BILL-0137</t>
  </si>
  <si>
    <t>BILL-0414</t>
  </si>
  <si>
    <t>BILL-0207</t>
  </si>
  <si>
    <t>BILL-0696</t>
  </si>
  <si>
    <t>BILL-0401</t>
  </si>
  <si>
    <t>BILL-0503</t>
  </si>
  <si>
    <t>BILL-0259</t>
  </si>
  <si>
    <t>BILL-0847</t>
  </si>
  <si>
    <t>BILL-0612</t>
  </si>
  <si>
    <t>BILL-0875</t>
  </si>
  <si>
    <t>BILL-0596</t>
  </si>
  <si>
    <t>BILL-0702</t>
  </si>
  <si>
    <t>May</t>
  </si>
  <si>
    <t>BILL-0999</t>
  </si>
  <si>
    <t>BILL-0577</t>
  </si>
  <si>
    <t>BILL-0604</t>
  </si>
  <si>
    <t>BILL-0120</t>
  </si>
  <si>
    <t>BILL-0280</t>
  </si>
  <si>
    <t>Zero consumption-verify meter</t>
  </si>
  <si>
    <t>BILL-0318</t>
  </si>
  <si>
    <t>BILL-0227</t>
  </si>
  <si>
    <t>BILL-0982</t>
  </si>
  <si>
    <t>BILL-0028</t>
  </si>
  <si>
    <t>BILL-0275</t>
  </si>
  <si>
    <t>BILL-0140</t>
  </si>
  <si>
    <t>BILL-0424</t>
  </si>
  <si>
    <t>BILL-0235</t>
  </si>
  <si>
    <t>BILL-0959</t>
  </si>
  <si>
    <t>BILL-0808</t>
  </si>
  <si>
    <t>BILL-0651</t>
  </si>
  <si>
    <t>BILL-0196</t>
  </si>
  <si>
    <t>BILL-0314</t>
  </si>
  <si>
    <t>BILL-0309</t>
  </si>
  <si>
    <t>BILL-0470</t>
  </si>
  <si>
    <t>BILL-0685</t>
  </si>
  <si>
    <t>BILL-0305</t>
  </si>
  <si>
    <t>BILL-0705</t>
  </si>
  <si>
    <t>BILL-0990</t>
  </si>
  <si>
    <t>BILL-0800</t>
  </si>
  <si>
    <t>BILL-0619</t>
  </si>
  <si>
    <t>BILL-0858</t>
  </si>
  <si>
    <t>BILL-0356</t>
  </si>
  <si>
    <t>BILL-0690</t>
  </si>
  <si>
    <t>BILL-0001</t>
  </si>
  <si>
    <t>BILL-0191</t>
  </si>
  <si>
    <t>BILL-0186</t>
  </si>
  <si>
    <t>BILL-0326</t>
  </si>
  <si>
    <t>BILL-0071</t>
  </si>
  <si>
    <t>BILL-0044</t>
  </si>
  <si>
    <t>BILL-0469</t>
  </si>
  <si>
    <t>BILL-0328</t>
  </si>
  <si>
    <t>BILL-0844</t>
  </si>
  <si>
    <t>BILL-0523</t>
  </si>
  <si>
    <t>BILL-0008</t>
  </si>
  <si>
    <t>BILL-0416</t>
  </si>
  <si>
    <t>BILL-0212</t>
  </si>
  <si>
    <t>BILL-0938</t>
  </si>
  <si>
    <t>BILL-0403</t>
  </si>
  <si>
    <t>BILL-0319</t>
  </si>
  <si>
    <t>BILL-0412</t>
  </si>
  <si>
    <t>BILL-0089</t>
  </si>
  <si>
    <t>BILL-0202</t>
  </si>
  <si>
    <t>BILL-0076</t>
  </si>
  <si>
    <t>BILL-0649</t>
  </si>
  <si>
    <t>BILL-0433</t>
  </si>
  <si>
    <t>BILL-0156</t>
  </si>
  <si>
    <t>BILL-0762</t>
  </si>
  <si>
    <t>BILL-0358</t>
  </si>
  <si>
    <t>BILL-0798</t>
  </si>
  <si>
    <t>BILL-0869</t>
  </si>
  <si>
    <t>BILL-0291</t>
  </si>
  <si>
    <t>BILL-0811</t>
  </si>
  <si>
    <t>BILL-0642</t>
  </si>
  <si>
    <t>BILL-0853</t>
  </si>
  <si>
    <t>BILL-0282</t>
  </si>
  <si>
    <t>BILL-0169</t>
  </si>
  <si>
    <t>BILL-0123</t>
  </si>
  <si>
    <t>BILL-0689</t>
  </si>
  <si>
    <t>BILL-0763</t>
  </si>
  <si>
    <t>BILL-0030</t>
  </si>
  <si>
    <t>BILL-0099</t>
  </si>
  <si>
    <t>BILL-0687</t>
  </si>
  <si>
    <t>Dec</t>
  </si>
  <si>
    <t>BILL-0431</t>
  </si>
  <si>
    <t>BILL-0427</t>
  </si>
  <si>
    <t>BILL-0220</t>
  </si>
  <si>
    <t>BILL-0662</t>
  </si>
  <si>
    <t>BILL-0240</t>
  </si>
  <si>
    <t>BILL-0341</t>
  </si>
  <si>
    <t>BILL-0273</t>
  </si>
  <si>
    <t>BILL-0975</t>
  </si>
  <si>
    <t>BILL-0048</t>
  </si>
  <si>
    <t>BILL-0806</t>
  </si>
  <si>
    <t>BILL-0461</t>
  </si>
  <si>
    <t>BILL-0640</t>
  </si>
  <si>
    <t>BILL-0003</t>
  </si>
  <si>
    <t>BILL-0049</t>
  </si>
  <si>
    <t>BILL-0413</t>
  </si>
  <si>
    <t>BILL-0812</t>
  </si>
  <si>
    <t>BILL-0644</t>
  </si>
  <si>
    <t>BILL-0090</t>
  </si>
  <si>
    <t>BILL-0768</t>
  </si>
  <si>
    <t>BILL-0774</t>
  </si>
  <si>
    <t>BILL-0549</t>
  </si>
  <si>
    <t>BILL-0036</t>
  </si>
  <si>
    <t>BILL-0072</t>
  </si>
  <si>
    <t>BILL-0098</t>
  </si>
  <si>
    <t>BILL-0882</t>
  </si>
  <si>
    <t>BILL-0360</t>
  </si>
  <si>
    <t>BILL-0246</t>
  </si>
  <si>
    <t>BILL-0781</t>
  </si>
  <si>
    <t>BILL-0558</t>
  </si>
  <si>
    <t>BILL-0160</t>
  </si>
  <si>
    <t>BILL-0601</t>
  </si>
  <si>
    <t>BILL-0668</t>
  </si>
  <si>
    <t>BILL-0809</t>
  </si>
  <si>
    <t>BILL-0605</t>
  </si>
  <si>
    <t>BILL-0643</t>
  </si>
  <si>
    <t>BILL-0324</t>
  </si>
  <si>
    <t>BILL-0502</t>
  </si>
  <si>
    <t>BILL-0803</t>
  </si>
  <si>
    <t>BILL-0132</t>
  </si>
  <si>
    <t>BILL-0708</t>
  </si>
  <si>
    <t>BILL-0639</t>
  </si>
  <si>
    <t>BILL-0579</t>
  </si>
  <si>
    <t>BILL-0693</t>
  </si>
  <si>
    <t>BILL-0385</t>
  </si>
  <si>
    <t>BILL-0529</t>
  </si>
  <si>
    <t>BILL-0348</t>
  </si>
  <si>
    <t>BILL-0214</t>
  </si>
  <si>
    <t>BILL-0410</t>
  </si>
  <si>
    <t>BILL-0177</t>
  </si>
  <si>
    <t>BILL-0440</t>
  </si>
  <si>
    <t>BILL-0515</t>
  </si>
  <si>
    <t>BILL-0681</t>
  </si>
  <si>
    <t>BILL-0804</t>
  </si>
  <si>
    <t>BILL-0569</t>
  </si>
  <si>
    <t>BILL-0726</t>
  </si>
  <si>
    <t>BILL-0779</t>
  </si>
  <si>
    <t>BILL-0491</t>
  </si>
  <si>
    <t>BILL-0097</t>
  </si>
  <si>
    <t>BILL-0598</t>
  </si>
  <si>
    <t>BILL-0987</t>
  </si>
  <si>
    <t>BILL-0009</t>
  </si>
  <si>
    <t>BILL-0180</t>
  </si>
  <si>
    <t>BILL-0944</t>
  </si>
  <si>
    <t>BILL-0188</t>
  </si>
  <si>
    <t>BILL-0007</t>
  </si>
  <si>
    <t>BILL-0792</t>
  </si>
  <si>
    <t>BILL-0192</t>
  </si>
  <si>
    <t>BILL-0930</t>
  </si>
  <si>
    <t>BILL-0528</t>
  </si>
  <si>
    <t>BILL-0373</t>
  </si>
  <si>
    <t>BILL-0986</t>
  </si>
  <si>
    <t>BILL-0592</t>
  </si>
  <si>
    <t>BILL-0638</t>
  </si>
  <si>
    <t>BILL-0262</t>
  </si>
  <si>
    <t>BILL-0823</t>
  </si>
  <si>
    <t>BILL-0462</t>
  </si>
  <si>
    <t>BILL-0939</t>
  </si>
  <si>
    <t>BILL-0485</t>
  </si>
  <si>
    <t>BILL-0517</t>
  </si>
  <si>
    <t>BILL-0937</t>
  </si>
  <si>
    <t>BILL-0500</t>
  </si>
  <si>
    <t>BILL-0684</t>
  </si>
  <si>
    <t>BILL-0042</t>
  </si>
  <si>
    <t>BILL-0936</t>
  </si>
  <si>
    <t>BILL-0976</t>
  </si>
  <si>
    <t>BILL-0679</t>
  </si>
  <si>
    <t>BILL-0751</t>
  </si>
  <si>
    <t>BILL-0194</t>
  </si>
  <si>
    <t>BILL-0929</t>
  </si>
  <si>
    <t>BILL-0407</t>
  </si>
  <si>
    <t>BILL-0468</t>
  </si>
  <si>
    <t>BILL-0292</t>
  </si>
  <si>
    <t>BILL-0967</t>
  </si>
  <si>
    <t>BILL-0395</t>
  </si>
  <si>
    <t>BILL-0686</t>
  </si>
  <si>
    <t>BILL-0957</t>
  </si>
  <si>
    <t>BILL-0630</t>
  </si>
  <si>
    <t>BILL-0586</t>
  </si>
  <si>
    <t>BILL-0525</t>
  </si>
  <si>
    <t>BILL-0488</t>
  </si>
  <si>
    <t>BILL-0942</t>
  </si>
  <si>
    <t>BILL-0510</t>
  </si>
  <si>
    <t>BILL-0181</t>
  </si>
  <si>
    <t>BILL-0336</t>
  </si>
  <si>
    <t>BILL-0480</t>
  </si>
  <si>
    <t>BILL-0332</t>
  </si>
  <si>
    <t>BILL-0497</t>
  </si>
  <si>
    <t>BILL-0213</t>
  </si>
  <si>
    <t>BILL-0588</t>
  </si>
  <si>
    <t>BILL-0006</t>
  </si>
  <si>
    <t>BILL-0139</t>
  </si>
  <si>
    <t>BILL-0155</t>
  </si>
  <si>
    <t>BILL-0683</t>
  </si>
  <si>
    <t>BILL-0404</t>
  </si>
  <si>
    <t>BILL-0157</t>
  </si>
  <si>
    <t>BILL-0158</t>
  </si>
  <si>
    <t>BILL-0729</t>
  </si>
  <si>
    <t>BILL-0941</t>
  </si>
  <si>
    <t>BILL-0564</t>
  </si>
  <si>
    <t>BILL-0571</t>
  </si>
  <si>
    <t>BILL-0991</t>
  </si>
  <si>
    <t>BILL-0620</t>
  </si>
  <si>
    <t>BILL-0399</t>
  </si>
  <si>
    <t>BILL-0425</t>
  </si>
  <si>
    <t>BILL-0572</t>
  </si>
  <si>
    <t>BILL-0372</t>
  </si>
  <si>
    <t>BILL-0989</t>
  </si>
  <si>
    <t>BILL-0547</t>
  </si>
  <si>
    <t>BILL-0012</t>
  </si>
  <si>
    <t>BILL-0886</t>
  </si>
  <si>
    <t>BILL-0862</t>
  </si>
  <si>
    <t>BILL-0383</t>
  </si>
  <si>
    <t>BILL-0363</t>
  </si>
  <si>
    <t>BILL-0187</t>
  </si>
  <si>
    <t>BILL-0573</t>
  </si>
  <si>
    <t>BILL-0501</t>
  </si>
  <si>
    <t>BILL-0374</t>
  </si>
  <si>
    <t>BILL-0971</t>
  </si>
  <si>
    <t>BILL-0340</t>
  </si>
  <si>
    <t>BILL-0103</t>
  </si>
  <si>
    <t>BILL-0591</t>
  </si>
  <si>
    <t>BILL-0349</t>
  </si>
  <si>
    <t>BILL-0208</t>
  </si>
  <si>
    <t>BILL-0973</t>
  </si>
  <si>
    <t>BILL-0459</t>
  </si>
  <si>
    <t>BILL-0992</t>
  </si>
  <si>
    <t>BILL-0486</t>
  </si>
  <si>
    <t>BILL-0067</t>
  </si>
  <si>
    <t>BILL-0920</t>
  </si>
  <si>
    <t>BILL-0198</t>
  </si>
  <si>
    <t>BILL-0439</t>
  </si>
  <si>
    <t>BILL-0522</t>
  </si>
  <si>
    <t>BILL-0473</t>
  </si>
  <si>
    <t>BILL-0111</t>
  </si>
  <si>
    <t>BILL-0138</t>
  </si>
  <si>
    <t>BILL-0682</t>
  </si>
  <si>
    <t>BILL-0777</t>
  </si>
  <si>
    <t>BILL-0296</t>
  </si>
  <si>
    <t>BILL-0747</t>
  </si>
  <si>
    <t>BILL-0788</t>
  </si>
  <si>
    <t>BILL-0535</t>
  </si>
  <si>
    <t>BILL-0789</t>
  </si>
  <si>
    <t>BILL-0204</t>
  </si>
  <si>
    <t>BILL-0406</t>
  </si>
  <si>
    <t>BILL-0724</t>
  </si>
  <si>
    <t>BILL-0422</t>
  </si>
  <si>
    <t>BILL-0859</t>
  </si>
  <si>
    <t>BILL-0443</t>
  </si>
  <si>
    <t>BILL-0863</t>
  </si>
  <si>
    <t>BILL-0218</t>
  </si>
  <si>
    <t>BILL-0127</t>
  </si>
  <si>
    <t>BILL-0711</t>
  </si>
  <si>
    <t>BILL-0229</t>
  </si>
  <si>
    <t>BILL-0299</t>
  </si>
  <si>
    <t>BILL-0725</t>
  </si>
  <si>
    <t>BILL-0058</t>
  </si>
  <si>
    <t>BILL-0330</t>
  </si>
  <si>
    <t>BILL-0878</t>
  </si>
  <si>
    <t>BILL-0364</t>
  </si>
  <si>
    <t>BILL-0921</t>
  </si>
  <si>
    <t>BILL-0279</t>
  </si>
  <si>
    <t>BILL-0183</t>
  </si>
  <si>
    <t>BILL-0892</t>
  </si>
  <si>
    <t>BILL-0415</t>
  </si>
  <si>
    <t>BILL-0972</t>
  </si>
  <si>
    <t>BILL-0150</t>
  </si>
  <si>
    <t>BILL-0581</t>
  </si>
  <si>
    <t>BILL-0714</t>
  </si>
  <si>
    <t>BILL-0093</t>
  </si>
  <si>
    <t>BILL-0504</t>
  </si>
  <si>
    <t>BILL-0979</t>
  </si>
  <si>
    <t>BILL-0648</t>
  </si>
  <si>
    <t>BILL-0877</t>
  </si>
  <si>
    <t>BILL-0446</t>
  </si>
  <si>
    <t>BILL-0545</t>
  </si>
  <si>
    <t>BILL-0215</t>
  </si>
  <si>
    <t>BILL-0947</t>
  </si>
  <si>
    <t>BILL-0457</t>
  </si>
  <si>
    <t>BILL-0795</t>
  </si>
  <si>
    <t>BILL-0331</t>
  </si>
  <si>
    <t>BILL-0252</t>
  </si>
  <si>
    <t>BILL-0514</t>
  </si>
  <si>
    <t>BILL-0223</t>
  </si>
  <si>
    <t>BILL-0002</t>
  </si>
  <si>
    <t>BILL-0110</t>
  </si>
  <si>
    <t>BILL-0655</t>
  </si>
  <si>
    <t>BILL-0595</t>
  </si>
  <si>
    <t>BILL-0102</t>
  </si>
  <si>
    <t>BILL-0952</t>
  </si>
  <si>
    <t>BILL-0487</t>
  </si>
  <si>
    <t>BILL-0255</t>
  </si>
  <si>
    <t>BILL-0096</t>
  </si>
  <si>
    <t>BILL-0969</t>
  </si>
  <si>
    <t>BILL-0454</t>
  </si>
  <si>
    <t>BILL-0661</t>
  </si>
  <si>
    <t>BILL-0707</t>
  </si>
  <si>
    <t>BILL-0101</t>
  </si>
  <si>
    <t>BILL-0113</t>
  </si>
  <si>
    <t>BILL-0193</t>
  </si>
  <si>
    <t>BILL-0872</t>
  </si>
  <si>
    <t>BILL-0778</t>
  </si>
  <si>
    <t>BILL-0005</t>
  </si>
  <si>
    <t>BILL-0568</t>
  </si>
  <si>
    <t>BILL-0883</t>
  </si>
  <si>
    <t>BILL-0884</t>
  </si>
  <si>
    <t>BILL-0589</t>
  </si>
  <si>
    <t>BILL-0495</t>
  </si>
  <si>
    <t>BILL-0163</t>
  </si>
  <si>
    <t>BILL-0988</t>
  </si>
  <si>
    <t>BILL-0052</t>
  </si>
  <si>
    <t>BILL-0464</t>
  </si>
  <si>
    <t>BILL-0850</t>
  </si>
  <si>
    <t>BILL-0984</t>
  </si>
  <si>
    <t>BILL-0709</t>
  </si>
  <si>
    <t>BILL-0263</t>
  </si>
  <si>
    <t>BILL-0477</t>
  </si>
  <si>
    <t>BILL-0493</t>
  </si>
  <si>
    <t>BILL-0537</t>
  </si>
  <si>
    <t>BILL-0172</t>
  </si>
  <si>
    <t>BILL-0260</t>
  </si>
  <si>
    <t>BILL-0580</t>
  </si>
  <si>
    <t>BILL-0168</t>
  </si>
  <si>
    <t>BILL-0039</t>
  </si>
  <si>
    <t>BILL-0966</t>
  </si>
  <si>
    <t>BILL-0041</t>
  </si>
  <si>
    <t>BILL-0476</t>
  </si>
  <si>
    <t>BILL-0665</t>
  </si>
  <si>
    <t>BILL-0953</t>
  </si>
  <si>
    <t>BILL-0746</t>
  </si>
  <si>
    <t>BILL-0834</t>
  </si>
  <si>
    <t>BILL-0135</t>
  </si>
  <si>
    <t>BILL-0434</t>
  </si>
  <si>
    <t>BILL-0730</t>
  </si>
  <si>
    <t>BILL-0830</t>
  </si>
  <si>
    <t>BILL-0922</t>
  </si>
  <si>
    <t>BILL-0629</t>
  </si>
  <si>
    <t>BILL-0897</t>
  </si>
  <si>
    <t>BILL-0527</t>
  </si>
  <si>
    <t>BILL-0447</t>
  </si>
  <si>
    <t>BILL-0065</t>
  </si>
  <si>
    <t>BILL-0536</t>
  </si>
  <si>
    <t>BILL-0228</t>
  </si>
  <si>
    <t>BILL-0611</t>
  </si>
  <si>
    <t>BILL-0293</t>
  </si>
  <si>
    <t>BILL-0145</t>
  </si>
  <si>
    <t>BILL-0105</t>
  </si>
  <si>
    <t>BILL-0946</t>
  </si>
  <si>
    <t>BILL-0014</t>
  </si>
  <si>
    <t>BILL-0539</t>
  </si>
  <si>
    <t>BILL-0453</t>
  </si>
  <si>
    <t>BILL-0100</t>
  </si>
  <si>
    <t>BILL-0660</t>
  </si>
  <si>
    <t>BILL-0764</t>
  </si>
  <si>
    <t>BILL-0021</t>
  </si>
  <si>
    <t>BILL-0307</t>
  </si>
  <si>
    <t>BILL-0015</t>
  </si>
  <si>
    <t>BILL-0880</t>
  </si>
  <si>
    <t>BILL-0924</t>
  </si>
  <si>
    <t>BILL-0688</t>
  </si>
  <si>
    <t>BILL-0106</t>
  </si>
  <si>
    <t>BILL-0609</t>
  </si>
  <si>
    <t>BILL-0925</t>
  </si>
  <si>
    <t>BILL-0411</t>
  </si>
  <si>
    <t>BILL-0342</t>
  </si>
  <si>
    <t>BILL-0436</t>
  </si>
  <si>
    <t>BILL-0055</t>
  </si>
  <si>
    <t>BILL-0903</t>
  </si>
  <si>
    <t>BILL-0928</t>
  </si>
  <si>
    <t>BILL-0402</t>
  </si>
  <si>
    <t>BILL-0759</t>
  </si>
  <si>
    <t>BILL-0115</t>
  </si>
  <si>
    <t>BILL-0505</t>
  </si>
  <si>
    <t>BILL-0576</t>
  </si>
  <si>
    <t>BILL-0879</t>
  </si>
  <si>
    <t>BILL-0148</t>
  </si>
  <si>
    <t>BILL-0824</t>
  </si>
  <si>
    <t>BILL-0085</t>
  </si>
  <si>
    <t>BILL-0775</t>
  </si>
  <si>
    <t>BILL-0178</t>
  </si>
  <si>
    <t>BILL-0645</t>
  </si>
  <si>
    <t>BILL-0161</t>
  </si>
  <si>
    <t>BILL-0995</t>
  </si>
  <si>
    <t>BILL-0978</t>
  </si>
  <si>
    <t>BILL-0949</t>
  </si>
  <si>
    <t>BILL-0430</t>
  </si>
  <si>
    <t>BILL-0923</t>
  </si>
  <si>
    <t>BILL-0108</t>
  </si>
  <si>
    <t>BILL-0375</t>
  </si>
  <si>
    <t>BILL-0866</t>
  </si>
  <si>
    <t>BILL-0417</t>
  </si>
  <si>
    <t>BILL-0767</t>
  </si>
  <si>
    <t>BILL-0610</t>
  </si>
  <si>
    <t>BILL-0092</t>
  </si>
  <si>
    <t>BILL-0466</t>
  </si>
  <si>
    <t>BILL-0164</t>
  </si>
  <si>
    <t>BILL-0197</t>
  </si>
  <si>
    <t>BILL-0166</t>
  </si>
  <si>
    <t>BILL-0607</t>
  </si>
  <si>
    <t>BILL-0219</t>
  </si>
  <si>
    <t>BILL-0974</t>
  </si>
  <si>
    <t>BILL-0994</t>
  </si>
  <si>
    <t>BILL-0732</t>
  </si>
  <si>
    <t>BILL-0632</t>
  </si>
  <si>
    <t>BILL-0289</t>
  </si>
  <si>
    <t>BILL-0512</t>
  </si>
  <si>
    <t>BILL-0175</t>
  </si>
  <si>
    <t>BILL-0253</t>
  </si>
  <si>
    <t>BILL-0153</t>
  </si>
  <si>
    <t>BILL-0737</t>
  </si>
  <si>
    <t>BILL-0050</t>
  </si>
  <si>
    <t>BILL-0396</t>
  </si>
  <si>
    <t>BILL-0144</t>
  </si>
  <si>
    <t>BILL-0458</t>
  </si>
  <si>
    <t>BILL-0481</t>
  </si>
  <si>
    <t>BILL-0553</t>
  </si>
  <si>
    <t>BILL-0091</t>
  </si>
  <si>
    <t>BILL-0225</t>
  </si>
  <si>
    <t>BILL-0965</t>
  </si>
  <si>
    <t>BILL-0195</t>
  </si>
  <si>
    <t>BILL-0650</t>
  </si>
  <si>
    <t>BILL-0333</t>
  </si>
  <si>
    <t>BILL-0698</t>
  </si>
  <si>
    <t>BILL-0190</t>
  </si>
  <si>
    <t>BILL-0635</t>
  </si>
  <si>
    <t>BILL-0304</t>
  </si>
  <si>
    <t>BILL-0004</t>
  </si>
  <si>
    <t>BILL-0078</t>
  </si>
  <si>
    <t>BILL-0636</t>
  </si>
  <si>
    <t>BILL-0261</t>
  </si>
  <si>
    <t>BILL-0574</t>
  </si>
  <si>
    <t>BILL-0599</t>
  </si>
  <si>
    <t>BILL-0393</t>
  </si>
  <si>
    <t>BILL-0742</t>
  </si>
  <si>
    <t>BILL-0094</t>
  </si>
  <si>
    <t>BILL-0807</t>
  </si>
  <si>
    <t>BILL-0437</t>
  </si>
  <si>
    <t>BILL-0734</t>
  </si>
  <si>
    <t>BILL-0245</t>
  </si>
  <si>
    <t>BILL-0584</t>
  </si>
  <si>
    <t>BILL-0149</t>
  </si>
  <si>
    <t>BILL-0667</t>
  </si>
  <si>
    <t>BILL-0428</t>
  </si>
  <si>
    <t>BILL-0380</t>
  </si>
  <si>
    <t>BILL-0908</t>
  </si>
  <si>
    <t>BILL-0700</t>
  </si>
  <si>
    <t>BILL-0948</t>
  </si>
  <si>
    <t>BILL-0817</t>
  </si>
  <si>
    <t>BILL-0934</t>
  </si>
  <si>
    <t>BILL-0499</t>
  </si>
  <si>
    <t>BILL-0472</t>
  </si>
  <si>
    <t>BILL-0379</t>
  </si>
  <si>
    <t>BILL-0754</t>
  </si>
  <si>
    <t>BILL-0998</t>
  </si>
  <si>
    <t>BILL-0370</t>
  </si>
  <si>
    <t>BILL-0794</t>
  </si>
  <si>
    <t>BILL-0316</t>
  </si>
  <si>
    <t>BILL-0312</t>
  </si>
  <si>
    <t>BILL-0704</t>
  </si>
  <si>
    <t>BILL-0904</t>
  </si>
  <si>
    <t>BILL-0489</t>
  </si>
  <si>
    <t>BILL-0854</t>
  </si>
  <si>
    <t>BILL-0543</t>
  </si>
  <si>
    <t>BILL-0173</t>
  </si>
  <si>
    <t>BILL-0950</t>
  </si>
  <si>
    <t>BILL-0647</t>
  </si>
  <si>
    <t>BILL-0365</t>
  </si>
  <si>
    <t>BILL-0826</t>
  </si>
  <si>
    <t>BILL-0757</t>
  </si>
  <si>
    <t>BILL-0736</t>
  </si>
  <si>
    <t>BILL-0954</t>
  </si>
  <si>
    <t>BILL-0658</t>
  </si>
  <si>
    <t>BILL-0182</t>
  </si>
  <si>
    <t>BILL-0980</t>
  </si>
  <si>
    <t>BILL-0463</t>
  </si>
  <si>
    <t>BILL-0864</t>
  </si>
  <si>
    <t>BILL-0471</t>
  </si>
  <si>
    <t>BILL-0272</t>
  </si>
  <si>
    <t>BILL-0444</t>
  </si>
  <si>
    <t>BILL-0694</t>
  </si>
  <si>
    <t>BILL-0068</t>
  </si>
  <si>
    <t>BILL-0672</t>
  </si>
  <si>
    <t>BILL-0526</t>
  </si>
  <si>
    <t>BILL-0086</t>
  </si>
  <si>
    <t>BILL-0354</t>
  </si>
  <si>
    <t>BILL-0025</t>
  </si>
  <si>
    <t>BILL-0943</t>
  </si>
  <si>
    <t>BILL-0765</t>
  </si>
  <si>
    <t>BILL-0838</t>
  </si>
  <si>
    <t>BILL-0600</t>
  </si>
  <si>
    <t>BILL-0961</t>
  </si>
  <si>
    <t>BILL-0542</t>
  </si>
  <si>
    <t>BILL-0124</t>
  </si>
  <si>
    <t>BILL-0171</t>
  </si>
  <si>
    <t>BILL-0706</t>
  </si>
  <si>
    <t>BILL-0769</t>
  </si>
  <si>
    <t>BILL-0656</t>
  </si>
  <si>
    <t>BILL-0203</t>
  </si>
  <si>
    <t>BILL-0652</t>
  </si>
  <si>
    <t>BILL-0152</t>
  </si>
  <si>
    <t>BILL-0718</t>
  </si>
  <si>
    <t>BILL-0956</t>
  </si>
  <si>
    <t>BILL-0770</t>
  </si>
  <si>
    <t>BILL-0084</t>
  </si>
  <si>
    <t>BILL-0868</t>
  </si>
  <si>
    <t>BILL-0659</t>
  </si>
  <si>
    <t>BILL-0728</t>
  </si>
  <si>
    <t>BILL-0294</t>
  </si>
  <si>
    <t>BILL-0712</t>
  </si>
  <si>
    <t>BILL-0901</t>
  </si>
  <si>
    <t>BILL-0602</t>
  </si>
  <si>
    <t>BILL-0107</t>
  </si>
  <si>
    <t>BILL-0876</t>
  </si>
  <si>
    <t>BILL-0544</t>
  </si>
  <si>
    <t>BILL-0575</t>
  </si>
  <si>
    <t>BILL-0460</t>
  </si>
  <si>
    <t>BILL-0236</t>
  </si>
  <si>
    <t>BILL-0496</t>
  </si>
  <si>
    <t>BILL-0551</t>
  </si>
  <si>
    <t>BILL-0819</t>
  </si>
  <si>
    <t>BILL-0518</t>
  </si>
  <si>
    <t>BILL-0865</t>
  </si>
  <si>
    <t>BILL-0663</t>
  </si>
  <si>
    <t>BILL-0559</t>
  </si>
  <si>
    <t>BILL-0420</t>
  </si>
  <si>
    <t>BILL-0456</t>
  </si>
  <si>
    <t>BILL-0247</t>
  </si>
  <si>
    <t>BILL-0870</t>
  </si>
  <si>
    <t>BILL-0323</t>
  </si>
  <si>
    <t>BILL-0467</t>
  </si>
  <si>
    <t>BILL-0783</t>
  </si>
  <si>
    <t>BILL-0692</t>
  </si>
  <si>
    <t>BILL-0249</t>
  </si>
  <si>
    <t>BILL-0337</t>
  </si>
  <si>
    <t>BILL-0250</t>
  </si>
  <si>
    <t>BILL-0301</t>
  </si>
  <si>
    <t>BILL-0200</t>
  </si>
  <si>
    <t>BILL-0691</t>
  </si>
  <si>
    <t>BILL-0727</t>
  </si>
  <si>
    <t>BILL-0657</t>
  </si>
  <si>
    <t>BILL-0533</t>
  </si>
  <si>
    <t>BILL-0538</t>
  </si>
  <si>
    <t>BILL-0484</t>
  </si>
  <si>
    <t>BILL-0541</t>
  </si>
  <si>
    <t>BILL-0125</t>
  </si>
  <si>
    <t>BILL-0552</t>
  </si>
  <si>
    <t>BILL-0429</t>
  </si>
  <si>
    <t>BILL-0562</t>
  </si>
  <si>
    <t>BILL-0796</t>
  </si>
  <si>
    <t>BILL-0748</t>
  </si>
  <si>
    <t>BILL-0985</t>
  </si>
  <si>
    <t>BILL-0787</t>
  </si>
  <si>
    <t>BILL-0710</t>
  </si>
  <si>
    <t>BILL-0593</t>
  </si>
  <si>
    <t>BILL-0958</t>
  </si>
  <si>
    <t>BILL-0388</t>
  </si>
  <si>
    <t>BILL-0221</t>
  </si>
  <si>
    <t>BILL-0353</t>
  </si>
  <si>
    <t>BILL-0521</t>
  </si>
  <si>
    <t>BILL-0618</t>
  </si>
  <si>
    <t>BILL-0321</t>
  </si>
  <si>
    <t>BILL-0217</t>
  </si>
  <si>
    <t>BILL-0109</t>
  </si>
  <si>
    <t>BILL-0735</t>
  </si>
  <si>
    <t>BILL-0154</t>
  </si>
  <si>
    <t>BILL-0298</t>
  </si>
  <si>
    <t>BILL-0627</t>
  </si>
  <si>
    <t>BILL-0378</t>
  </si>
  <si>
    <t>BILL-0165</t>
  </si>
  <si>
    <t>BILL-0032</t>
  </si>
  <si>
    <t>BILL-0302</t>
  </si>
  <si>
    <t>BILL-0482</t>
  </si>
  <si>
    <t>BILL-0384</t>
  </si>
  <si>
    <t>BILL-0418</t>
  </si>
  <si>
    <t>BILL-0344</t>
  </si>
  <si>
    <t>BILL-0369</t>
  </si>
  <si>
    <t>BILL-0335</t>
  </si>
  <si>
    <t>BILL-0026</t>
  </si>
  <si>
    <t>BILL-0147</t>
  </si>
  <si>
    <t>BILL-0835</t>
  </si>
  <si>
    <t>BILL-0074</t>
  </si>
  <si>
    <t>BILL-0426</t>
  </si>
  <si>
    <t>BILL-0381</t>
  </si>
  <si>
    <t>BILL-0697</t>
  </si>
  <si>
    <t>BILL-0334</t>
  </si>
  <si>
    <t>BILL-0786</t>
  </si>
  <si>
    <t>BILL-0243</t>
  </si>
  <si>
    <t>BILL-0622</t>
  </si>
  <si>
    <t>BILL-0524</t>
  </si>
  <si>
    <t>BILL-0116</t>
  </si>
  <si>
    <t>BILL-0678</t>
  </si>
  <si>
    <t>BILL-0919</t>
  </si>
  <si>
    <t>BILL-0080</t>
  </si>
  <si>
    <t>BILL-0791</t>
  </si>
  <si>
    <t>BILL-0832</t>
  </si>
  <si>
    <t>BILL-0773</t>
  </si>
  <si>
    <t>BILL-0615</t>
  </si>
  <si>
    <t>BILL-0749</t>
  </si>
  <si>
    <t>BILL-1000</t>
  </si>
  <si>
    <t>BILL-0362</t>
  </si>
  <si>
    <t>BILL-0017</t>
  </si>
  <si>
    <t>BILL-0264</t>
  </si>
  <si>
    <t>BILL-0653</t>
  </si>
  <si>
    <t>BILL-0063</t>
  </si>
  <si>
    <t>BILL-0899</t>
  </si>
  <si>
    <t>BILL-0722</t>
  </si>
  <si>
    <t>BILL-0913</t>
  </si>
  <si>
    <t>BILL-0325</t>
  </si>
  <si>
    <t>BILL-0664</t>
  </si>
  <si>
    <t>BILL-0675</t>
  </si>
  <si>
    <t>BILL-0519</t>
  </si>
  <si>
    <t>BILL-0745</t>
  </si>
  <si>
    <t>BILL-0931</t>
  </si>
  <si>
    <t>BILL-0118</t>
  </si>
  <si>
    <t>BILL-0239</t>
  </si>
  <si>
    <t>BILL-0051</t>
  </si>
  <si>
    <t>BILL-0633</t>
  </si>
  <si>
    <t>BILL-0151</t>
  </si>
  <si>
    <t>BILL-0179</t>
  </si>
  <si>
    <t>BILL-0646</t>
  </si>
  <si>
    <t>BILL-0855</t>
  </si>
  <si>
    <t>BILL-0815</t>
  </si>
  <si>
    <t>BILL-0266</t>
  </si>
  <si>
    <t>BILL-0283</t>
  </si>
  <si>
    <t>BILL-0265</t>
  </si>
  <si>
    <t>BILL-0836</t>
  </si>
  <si>
    <t>BILL-0452</t>
  </si>
  <si>
    <t>BILL-0066</t>
  </si>
  <si>
    <t>BILL-0996</t>
  </si>
  <si>
    <t>BILL-0805</t>
  </si>
  <si>
    <t>BILL-0885</t>
  </si>
  <si>
    <t>BILL-0284</t>
  </si>
  <si>
    <t>BILL-0082</t>
  </si>
  <si>
    <t>BILL-0594</t>
  </si>
  <si>
    <t>BILL-0861</t>
  </si>
  <si>
    <t>BILL-0419</t>
  </si>
  <si>
    <t>BILL-0224</t>
  </si>
  <si>
    <t>BILL-0570</t>
  </si>
  <si>
    <t>BILL-0654</t>
  </si>
  <si>
    <t>BILL-0492</t>
  </si>
  <si>
    <t>BILL-0368</t>
  </si>
  <si>
    <t>BILL-0038</t>
  </si>
  <si>
    <t>BILL-0478</t>
  </si>
  <si>
    <t>BILL-0010</t>
  </si>
  <si>
    <t>BILL-0852</t>
  </si>
  <si>
    <t>BILL-0018</t>
  </si>
  <si>
    <t>BILL-0474</t>
  </si>
  <si>
    <t>BILL-0750</t>
  </si>
  <si>
    <t>BILL-0184</t>
  </si>
  <si>
    <t>BILL-0271</t>
  </si>
  <si>
    <t>BILL-0329</t>
  </si>
  <si>
    <t>BILL-0740</t>
  </si>
  <si>
    <t>BILL-0315</t>
  </si>
  <si>
    <t>BILL-0128</t>
  </si>
  <si>
    <t>BILL-0013</t>
  </si>
  <si>
    <t>BILL-0890</t>
  </si>
  <si>
    <t>BILL-0963</t>
  </si>
  <si>
    <t>BILL-0818</t>
  </si>
  <si>
    <t>BILL-0744</t>
  </si>
  <si>
    <t>BILL-0276</t>
  </si>
  <si>
    <t>BILL-0371</t>
  </si>
  <si>
    <t>BILL-0703</t>
  </si>
  <si>
    <t>BILL-0867</t>
  </si>
  <si>
    <t>BILL-0040</t>
  </si>
  <si>
    <t>BILL-0405</t>
  </si>
  <si>
    <t>BILL-0585</t>
  </si>
  <si>
    <t>BILL-0346</t>
  </si>
  <si>
    <t>BILL-0303</t>
  </si>
  <si>
    <t>BILL-0556</t>
  </si>
  <si>
    <t>BILL-0843</t>
  </si>
  <si>
    <t>BILL-0088</t>
  </si>
  <si>
    <t>BILL-0281</t>
  </si>
  <si>
    <t>BILL-0887</t>
  </si>
  <si>
    <t>BILL-0288</t>
  </si>
  <si>
    <t>BILL-0845</t>
  </si>
  <si>
    <t>BILL-0136</t>
  </si>
  <si>
    <t>BILL-0860</t>
  </si>
  <si>
    <t>BILL-0479</t>
  </si>
  <si>
    <t>BILL-0391</t>
  </si>
  <si>
    <t>BILL-0167</t>
  </si>
  <si>
    <t>BILL-0267</t>
  </si>
  <si>
    <t>BILL-0532</t>
  </si>
  <si>
    <t>BILL-0848</t>
  </si>
  <si>
    <t>BILL-0587</t>
  </si>
  <si>
    <t>BILL-0435</t>
  </si>
  <si>
    <t>BILL-0475</t>
  </si>
  <si>
    <t>BILL-0891</t>
  </si>
  <si>
    <t>BILL-0983</t>
  </si>
  <si>
    <t>BILL-0695</t>
  </si>
  <si>
    <t>BILL-0398</t>
  </si>
  <si>
    <t>BILL-0780</t>
  </si>
  <si>
    <t>BILL-0112</t>
  </si>
  <si>
    <t>BILL-0839</t>
  </si>
  <si>
    <t>BILL-0873</t>
  </si>
  <si>
    <t>BILL-0445</t>
  </si>
  <si>
    <t>BILL-0790</t>
  </si>
  <si>
    <t>BILL-0350</t>
  </si>
  <si>
    <t>BILL-0029</t>
  </si>
  <si>
    <t>BILL-0222</t>
  </si>
  <si>
    <t>BILL-0606</t>
  </si>
  <si>
    <t>BILL-0269</t>
  </si>
  <si>
    <t>BILL-0345</t>
  </si>
  <si>
    <t>BILL-0624</t>
  </si>
  <si>
    <t>BILL-0896</t>
  </si>
  <si>
    <t>BILL-0357</t>
  </si>
  <si>
    <t>BILL-0797</t>
  </si>
  <si>
    <t>BILL-0033</t>
  </si>
  <si>
    <t>BILL-0782</t>
  </si>
  <si>
    <t>BILL-0677</t>
  </si>
  <si>
    <t>BILL-0889</t>
  </si>
  <si>
    <t>BILL-0546</t>
  </si>
  <si>
    <t>BILL-0905</t>
  </si>
  <si>
    <t>BILL-0676</t>
  </si>
  <si>
    <t>BILL-0189</t>
  </si>
  <si>
    <t>BILL-0888</t>
  </si>
  <si>
    <t>BILL-0816</t>
  </si>
  <si>
    <t>BILL-0997</t>
  </si>
  <si>
    <t>BILL-0046</t>
  </si>
  <si>
    <t>BILL-0810</t>
  </si>
  <si>
    <t>BILL-0755</t>
  </si>
  <si>
    <t>BILL-0392</t>
  </si>
  <si>
    <t>BILL-0020</t>
  </si>
  <si>
    <t>BILL-0508</t>
  </si>
  <si>
    <t>BILL-0761</t>
  </si>
  <si>
    <t>BILL-0932</t>
  </si>
  <si>
    <t>BILL-0286</t>
  </si>
  <si>
    <t>BILL-0062</t>
  </si>
  <si>
    <t>BILL-0087</t>
  </si>
  <si>
    <t>BILL-0308</t>
  </si>
  <si>
    <t>BILL-0394</t>
  </si>
  <si>
    <t>BILL-0857</t>
  </si>
  <si>
    <t>BILL-0285</t>
  </si>
  <si>
    <t>BILL-0277</t>
  </si>
  <si>
    <t>BILL-0035</t>
  </si>
  <si>
    <t>BILL-0962</t>
  </si>
  <si>
    <t>BILL-0117</t>
  </si>
  <si>
    <t>BILL-0465</t>
  </si>
  <si>
    <t>BILL-0907</t>
  </si>
  <si>
    <t>BILL-0451</t>
  </si>
  <si>
    <t>BILL-0716</t>
  </si>
  <si>
    <t>BILL-0241</t>
  </si>
  <si>
    <t>BILL-0911</t>
  </si>
  <si>
    <t>BILL-0146</t>
  </si>
  <si>
    <t>BILL-0743</t>
  </si>
  <si>
    <t>BILL-0382</t>
  </si>
  <si>
    <t>BILL-0846</t>
  </si>
  <si>
    <t>BILL-0216</t>
  </si>
  <si>
    <t>BILL-0567</t>
  </si>
  <si>
    <t>BILL-0760</t>
  </si>
  <si>
    <t>BILL-0313</t>
  </si>
  <si>
    <t>BILL-0534</t>
  </si>
  <si>
    <t>BILL-0141</t>
  </si>
  <si>
    <t>BILL-0209</t>
  </si>
  <si>
    <t>BILL-0287</t>
  </si>
  <si>
    <t>BILL-0498</t>
  </si>
  <si>
    <t>BILL-0637</t>
  </si>
  <si>
    <t>BILL-0814</t>
  </si>
  <si>
    <t>BILL-0421</t>
  </si>
  <si>
    <t>BILL-0926</t>
  </si>
  <si>
    <t>BILL-0056</t>
  </si>
  <si>
    <t>BILL-0912</t>
  </si>
  <si>
    <t>BILL-0516</t>
  </si>
  <si>
    <t>BILL-0555</t>
  </si>
  <si>
    <t>BILL-0968</t>
  </si>
  <si>
    <t>BILL-0327</t>
  </si>
  <si>
    <t>BILL-0274</t>
  </si>
  <si>
    <t>BILL-0540</t>
  </si>
  <si>
    <t>BILL-0829</t>
  </si>
  <si>
    <t>BILL-0670</t>
  </si>
  <si>
    <t>BILL-0851</t>
  </si>
  <si>
    <t>BILL-0918</t>
  </si>
  <si>
    <t>BILL-0799</t>
  </si>
  <si>
    <t>BILL-0376</t>
  </si>
  <si>
    <t>BILL-0310</t>
  </si>
  <si>
    <t>BILL-0731</t>
  </si>
  <si>
    <t>BILL-0455</t>
  </si>
  <si>
    <t>BILL-0226</t>
  </si>
  <si>
    <t>BILL-0366</t>
  </si>
  <si>
    <t>BILL-0753</t>
  </si>
  <si>
    <t>BILL-0723</t>
  </si>
  <si>
    <t>BILL-0507</t>
  </si>
  <si>
    <t>BILL-0211</t>
  </si>
  <si>
    <t>BILL-0557</t>
  </si>
  <si>
    <t>BILL-0257</t>
  </si>
  <si>
    <t>BILL-0820</t>
  </si>
  <si>
    <t>BILL-0840</t>
  </si>
  <si>
    <t>BILL-0673</t>
  </si>
  <si>
    <t>BILL-0126</t>
  </si>
  <si>
    <t>BILL-0674</t>
  </si>
  <si>
    <t>BILL-0917</t>
  </si>
  <si>
    <t>BILL-0408</t>
  </si>
  <si>
    <t>BILL-0621</t>
  </si>
  <si>
    <t>BILL-0916</t>
  </si>
  <si>
    <t>BILL-0300</t>
  </si>
  <si>
    <t>BILL-0251</t>
  </si>
  <si>
    <t>BILL-0671</t>
  </si>
  <si>
    <t>BILL-0617</t>
  </si>
  <si>
    <t>BILL-0906</t>
  </si>
  <si>
    <t>BILL-0322</t>
  </si>
  <si>
    <t>BILL-0045</t>
  </si>
  <si>
    <t>BILL-0290</t>
  </si>
  <si>
    <t>BILL-0185</t>
  </si>
  <si>
    <t>BILL-0130</t>
  </si>
  <si>
    <t>BILL-0841</t>
  </si>
  <si>
    <t>BILL-0079</t>
  </si>
  <si>
    <t>BILL-0970</t>
  </si>
  <si>
    <t>BILL-0833</t>
  </si>
  <si>
    <t>BILL-0256</t>
  </si>
  <si>
    <t>BILL-0738</t>
  </si>
  <si>
    <t>BILL-0016</t>
  </si>
  <si>
    <t>BILL-0822</t>
  </si>
  <si>
    <t>BILL-0047</t>
  </si>
  <si>
    <t>BILL-0582</t>
  </si>
  <si>
    <t>BILL-0550</t>
  </si>
  <si>
    <t>BILL-0813</t>
  </si>
  <si>
    <t>BILL-0828</t>
  </si>
  <si>
    <t>BILL-0771</t>
  </si>
  <si>
    <t>BILL-0766</t>
  </si>
  <si>
    <t>BILL-0423</t>
  </si>
  <si>
    <t>BILL-0233</t>
  </si>
  <si>
    <t>BILL-0011</t>
  </si>
  <si>
    <t>BILL-0603</t>
  </si>
  <si>
    <t>BILL-0095</t>
  </si>
  <si>
    <t>BILL-0238</t>
  </si>
  <si>
    <t>BILL-0244</t>
  </si>
  <si>
    <t>BILL-0060</t>
  </si>
  <si>
    <t>BILL-0448</t>
  </si>
  <si>
    <t>BILL-0352</t>
  </si>
  <si>
    <t>BILL-0199</t>
  </si>
  <si>
    <t>BILL-0361</t>
  </si>
  <si>
    <t>BILL-0377</t>
  </si>
  <si>
    <t>BILL-0631</t>
  </si>
  <si>
    <t>BILL-0449</t>
  </si>
  <si>
    <t>BILL-0119</t>
  </si>
  <si>
    <t>BILL-0142</t>
  </si>
  <si>
    <t>BILL-0563</t>
  </si>
  <si>
    <t>BILL-0719</t>
  </si>
  <si>
    <t>BILL-0441</t>
  </si>
  <si>
    <t>BILL-0129</t>
  </si>
  <si>
    <t>BILL-0713</t>
  </si>
  <si>
    <t>BILL-0387</t>
  </si>
  <si>
    <t>BILL-0785</t>
  </si>
  <si>
    <t>BILL-0397</t>
  </si>
  <si>
    <t>BILL-0054</t>
  </si>
  <si>
    <t>BILL-0494</t>
  </si>
  <si>
    <t>BILL-0566</t>
  </si>
  <si>
    <t>BILL-0019</t>
  </si>
  <si>
    <t>BILL-0756</t>
  </si>
  <si>
    <t>BILL-0701</t>
  </si>
  <si>
    <t>BILL-0699</t>
  </si>
  <si>
    <t>BILL-0389</t>
  </si>
  <si>
    <t>BILL-0881</t>
  </si>
  <si>
    <t>BILL-0623</t>
  </si>
  <si>
    <t>BILL-0981</t>
  </si>
  <si>
    <t>BILL-0201</t>
  </si>
  <si>
    <t>BILL-0831</t>
  </si>
  <si>
    <t>BILL-0902</t>
  </si>
  <si>
    <t>BILL-0793</t>
  </si>
  <si>
    <t>BILL-0027</t>
  </si>
  <si>
    <t>BILL-0057</t>
  </si>
  <si>
    <t>BILL-0022</t>
  </si>
  <si>
    <t>BILL-0234</t>
  </si>
  <si>
    <t>BILL-0898</t>
  </si>
  <si>
    <t>BILL-0871</t>
  </si>
  <si>
    <t>BILL-0801</t>
  </si>
  <si>
    <t>BILL-0311</t>
  </si>
  <si>
    <t>BILL-0490</t>
  </si>
  <si>
    <t>BILL-0442</t>
  </si>
  <si>
    <t>BILL-0359</t>
  </si>
  <si>
    <t>BILL-0666</t>
  </si>
  <si>
    <t>BILL-0231</t>
  </si>
  <si>
    <t>BILL-0520</t>
  </si>
  <si>
    <t>BILL-0509</t>
  </si>
  <si>
    <t>BILL-0933</t>
  </si>
  <si>
    <t>BILL-0043</t>
  </si>
  <si>
    <t>BILL-0741</t>
  </si>
  <si>
    <t>BILL-0278</t>
  </si>
  <si>
    <t>BILL-0133</t>
  </si>
  <si>
    <t>BILL-0565</t>
  </si>
  <si>
    <t>BILL-0909</t>
  </si>
  <si>
    <t>BILL-0083</t>
  </si>
  <si>
    <t>BILL-0628</t>
  </si>
  <si>
    <t>BILL-0758</t>
  </si>
  <si>
    <t>BILL-0613</t>
  </si>
  <si>
    <t>BILL-0355</t>
  </si>
  <si>
    <t>BILL-0037</t>
  </si>
  <si>
    <t>BILL-0827</t>
  </si>
  <si>
    <t>BILL-0951</t>
  </si>
  <si>
    <t>BILL-0856</t>
  </si>
  <si>
    <t>BILL-0720</t>
  </si>
  <si>
    <t>BILL-0625</t>
  </si>
  <si>
    <t>BILL-0927</t>
  </si>
  <si>
    <t>BILL-0578</t>
  </si>
  <si>
    <t>BILL-0825</t>
  </si>
  <si>
    <t>BILL-0075</t>
  </si>
  <si>
    <t>BILL-0506</t>
  </si>
  <si>
    <t>BILL-0242</t>
  </si>
  <si>
    <t>BILL-0064</t>
  </si>
  <si>
    <t>BILL-0900</t>
  </si>
  <si>
    <t>BILL-0935</t>
  </si>
  <si>
    <t>BILL-0680</t>
  </si>
  <si>
    <t>BILL-0776</t>
  </si>
  <si>
    <t>BILL-0338</t>
  </si>
  <si>
    <t>BILL-0752</t>
  </si>
  <si>
    <t>BILL-0837</t>
  </si>
  <si>
    <t>BILL-0561</t>
  </si>
  <si>
    <t>BILL-0210</t>
  </si>
  <si>
    <t>BILL-0143</t>
  </si>
  <si>
    <t>BILL-0061</t>
  </si>
  <si>
    <t>BILL-0784</t>
  </si>
  <si>
    <t>BILL-0910</t>
  </si>
  <si>
    <t>BILL-0343</t>
  </si>
  <si>
    <t>BILL-0206</t>
  </si>
  <si>
    <t>BILL-0268</t>
  </si>
  <si>
    <t>BILL-0432</t>
  </si>
  <si>
    <t>BILL-0347</t>
  </si>
  <si>
    <t>BILL-0034</t>
  </si>
  <si>
    <t>BILL-0031</t>
  </si>
  <si>
    <t>BILL-0669</t>
  </si>
  <si>
    <t>BILL-0270</t>
  </si>
  <si>
    <t>BILL-0940</t>
  </si>
  <si>
    <t>BILL-0960</t>
  </si>
  <si>
    <t>BILL-0483</t>
  </si>
  <si>
    <t>BILL-0597</t>
  </si>
  <si>
    <t>BILL-0114</t>
  </si>
  <si>
    <t>BILL-0914</t>
  </si>
  <si>
    <t>BILL-0715</t>
  </si>
  <si>
    <t>BILL-0560</t>
  </si>
  <si>
    <t>BILL-0059</t>
  </si>
  <si>
    <t>BILL-0634</t>
  </si>
  <si>
    <t>BILL-0409</t>
  </si>
  <si>
    <t>BILL-0320</t>
  </si>
  <si>
    <t>BILL-0513</t>
  </si>
  <si>
    <t>BILL-0626</t>
  </si>
  <si>
    <t>BILL-0955</t>
  </si>
  <si>
    <t>BILL-0531</t>
  </si>
  <si>
    <t>BILL-0874</t>
  </si>
  <si>
    <t>BILL-0248</t>
  </si>
  <si>
    <t>BILL-0590</t>
  </si>
  <si>
    <t>BILL-0548</t>
  </si>
  <si>
    <t>BILL-0077</t>
  </si>
  <si>
    <t>BILL-0295</t>
  </si>
  <si>
    <t>BILL-0162</t>
  </si>
  <si>
    <t>BILL-0893</t>
  </si>
  <si>
    <t>BILL-0894</t>
  </si>
  <si>
    <t>BILL-0070</t>
  </si>
  <si>
    <t>BILL-0367</t>
  </si>
  <si>
    <t>BILL-0721</t>
  </si>
  <si>
    <t>BILL-0400</t>
  </si>
  <si>
    <t>BILL-0258</t>
  </si>
  <si>
    <t>BILL-0849</t>
  </si>
  <si>
    <t>BILL-0945</t>
  </si>
  <si>
    <t>BILL-0297</t>
  </si>
  <si>
    <t>BILL-0964</t>
  </si>
  <si>
    <t>BILL-0842</t>
  </si>
  <si>
    <t>BILL-0230</t>
  </si>
  <si>
    <t>BILL-0024</t>
  </si>
  <si>
    <t>BILL-0339</t>
  </si>
  <si>
    <t>BILL-0554</t>
  </si>
  <si>
    <t>BILL-0616</t>
  </si>
  <si>
    <t>BILL-0053</t>
  </si>
  <si>
    <t>BILL-0237</t>
  </si>
  <si>
    <t>BILL-0511</t>
  </si>
  <si>
    <t>BILL-0121</t>
  </si>
  <si>
    <t>BILL-0104</t>
  </si>
  <si>
    <t>BILL-0306</t>
  </si>
  <si>
    <t>BILL-0530</t>
  </si>
  <si>
    <t>BILL-0802</t>
  </si>
  <si>
    <t>BILL-0131</t>
  </si>
  <si>
    <t>BILL-0081</t>
  </si>
  <si>
    <t>BILL-0583</t>
  </si>
  <si>
    <t>BILL-0073</t>
  </si>
  <si>
    <t>BILL-0895</t>
  </si>
  <si>
    <t>BILL-0386</t>
  </si>
  <si>
    <t>BILL-0641</t>
  </si>
  <si>
    <t>BILL-0438</t>
  </si>
  <si>
    <t>BILL-0450</t>
  </si>
  <si>
    <t>BILL-0069</t>
  </si>
  <si>
    <t>BILL-0821</t>
  </si>
  <si>
    <t>payment_id</t>
  </si>
  <si>
    <t>payment_status</t>
  </si>
  <si>
    <t>amount_paid</t>
  </si>
  <si>
    <t>due_date</t>
  </si>
  <si>
    <t>payment_date</t>
  </si>
  <si>
    <t>days_to_pay</t>
  </si>
  <si>
    <t>payment_flag</t>
  </si>
  <si>
    <t>PAY-0380</t>
  </si>
  <si>
    <t>Unpaid</t>
  </si>
  <si>
    <t>No payment made</t>
  </si>
  <si>
    <t>PAY-0172</t>
  </si>
  <si>
    <t>PAY-0038</t>
  </si>
  <si>
    <t>Partial</t>
  </si>
  <si>
    <t>OK</t>
  </si>
  <si>
    <t>PAY-0147</t>
  </si>
  <si>
    <t>Paid</t>
  </si>
  <si>
    <t>PAY-0435</t>
  </si>
  <si>
    <t>PAY-0820</t>
  </si>
  <si>
    <t>PAY-0311</t>
  </si>
  <si>
    <t>PAY-0261</t>
  </si>
  <si>
    <t>PAY-0681</t>
  </si>
  <si>
    <t>PAY-0639</t>
  </si>
  <si>
    <t>PAY-0103</t>
  </si>
  <si>
    <t>PAY-0456</t>
  </si>
  <si>
    <t>PAY-0139</t>
  </si>
  <si>
    <t>PAY-0600</t>
  </si>
  <si>
    <t>PAY-0432</t>
  </si>
  <si>
    <t>PAY-0162</t>
  </si>
  <si>
    <t>PAY-0495</t>
  </si>
  <si>
    <t>PAY-0048</t>
  </si>
  <si>
    <t>Partial - date missing</t>
  </si>
  <si>
    <t>PAY-0029</t>
  </si>
  <si>
    <t>PAY-0044</t>
  </si>
  <si>
    <t>PAY-0898</t>
  </si>
  <si>
    <t>PAY-0006</t>
  </si>
  <si>
    <t>PAY-0481</t>
  </si>
  <si>
    <t>PAY-0705</t>
  </si>
  <si>
    <t>PAY-0698</t>
  </si>
  <si>
    <t>PAY-0624</t>
  </si>
  <si>
    <t>PAY-0894</t>
  </si>
  <si>
    <t>PAY-0161</t>
  </si>
  <si>
    <t>PAY-0324</t>
  </si>
  <si>
    <t>PAY-0543</t>
  </si>
  <si>
    <t>PAY-0632</t>
  </si>
  <si>
    <t>PAY-0663</t>
  </si>
  <si>
    <t>PAY-0070</t>
  </si>
  <si>
    <t>PAY-0377</t>
  </si>
  <si>
    <t>PAY-0341</t>
  </si>
  <si>
    <t>PAY-0720</t>
  </si>
  <si>
    <t>Partial - amount missing</t>
  </si>
  <si>
    <t>PAY-0873</t>
  </si>
  <si>
    <t>PAY-0552</t>
  </si>
  <si>
    <t>PAY-0649</t>
  </si>
  <si>
    <t>PAY-0713</t>
  </si>
  <si>
    <t>PAY-0866</t>
  </si>
  <si>
    <t>PAY-0943</t>
  </si>
  <si>
    <t>PAY-0008</t>
  </si>
  <si>
    <t>PAY-0749</t>
  </si>
  <si>
    <t>PAY-0483</t>
  </si>
  <si>
    <t>PAY-0186</t>
  </si>
  <si>
    <t>PAY-0822</t>
  </si>
  <si>
    <t>PAY-0131</t>
  </si>
  <si>
    <t>PAY-0098</t>
  </si>
  <si>
    <t>PAY-0466</t>
  </si>
  <si>
    <t>PAY-0194</t>
  </si>
  <si>
    <t>PAY-0515</t>
  </si>
  <si>
    <t>PAY-0232</t>
  </si>
  <si>
    <t>PAY-0332</t>
  </si>
  <si>
    <t>PAY-0076</t>
  </si>
  <si>
    <t>PAY-0293</t>
  </si>
  <si>
    <t>PAY-0021</t>
  </si>
  <si>
    <t>PAY-0845</t>
  </si>
  <si>
    <t>PAY-0398</t>
  </si>
  <si>
    <t>PAY-0889</t>
  </si>
  <si>
    <t>PAY-0359</t>
  </si>
  <si>
    <t>PAY-0863</t>
  </si>
  <si>
    <t>PAY-0036</t>
  </si>
  <si>
    <t>PAY-0283</t>
  </si>
  <si>
    <t>PAY-0976</t>
  </si>
  <si>
    <t>PAY-0010</t>
  </si>
  <si>
    <t>PAY-0474</t>
  </si>
  <si>
    <t>PAY-0493</t>
  </si>
  <si>
    <t>PAY-0013</t>
  </si>
  <si>
    <t>PAY-0254</t>
  </si>
  <si>
    <t>PAY-0675</t>
  </si>
  <si>
    <t>PAY-0221</t>
  </si>
  <si>
    <t>PAY-0362</t>
  </si>
  <si>
    <t>PAY-0690</t>
  </si>
  <si>
    <t>PAY-0216</t>
  </si>
  <si>
    <t>PAY-0595</t>
  </si>
  <si>
    <t>PAY-0193</t>
  </si>
  <si>
    <t>PAY-0694</t>
  </si>
  <si>
    <t>PAY-0655</t>
  </si>
  <si>
    <t>PAY-0183</t>
  </si>
  <si>
    <t>PAY-0808</t>
  </si>
  <si>
    <t>PAY-0434</t>
  </si>
  <si>
    <t>PAY-0093</t>
  </si>
  <si>
    <t>PAY-0766</t>
  </si>
  <si>
    <t>PAY-0736</t>
  </si>
  <si>
    <t>PAY-0443</t>
  </si>
  <si>
    <t>PAY-0672</t>
  </si>
  <si>
    <t>PAY-0284</t>
  </si>
  <si>
    <t>PAY-0699</t>
  </si>
  <si>
    <t>PAY-0503</t>
  </si>
  <si>
    <t>PAY-0155</t>
  </si>
  <si>
    <t>PAY-0438</t>
  </si>
  <si>
    <t>PAY-0968</t>
  </si>
  <si>
    <t>PAY-0152</t>
  </si>
  <si>
    <t>PAY-0446</t>
  </si>
  <si>
    <t>PAY-0757</t>
  </si>
  <si>
    <t>PAY-0908</t>
  </si>
  <si>
    <t>PAY-0382</t>
  </si>
  <si>
    <t>PAY-0855</t>
  </si>
  <si>
    <t>PAY-0426</t>
  </si>
  <si>
    <t>PAY-0448</t>
  </si>
  <si>
    <t>PAY-0393</t>
  </si>
  <si>
    <t>PAY-0903</t>
  </si>
  <si>
    <t>PAY-0631</t>
  </si>
  <si>
    <t>PAY-0518</t>
  </si>
  <si>
    <t>PAY-0926</t>
  </si>
  <si>
    <t>PAY-0365</t>
  </si>
  <si>
    <t>PAY-0944</t>
  </si>
  <si>
    <t>PAY-0706</t>
  </si>
  <si>
    <t>PAY-0012</t>
  </si>
  <si>
    <t>PAY-0521</t>
  </si>
  <si>
    <t>PAY-0917</t>
  </si>
  <si>
    <t>PAY-0838</t>
  </si>
  <si>
    <t>PAY-0005</t>
  </si>
  <si>
    <t>PAY-0267</t>
  </si>
  <si>
    <t>PAY-0329</t>
  </si>
  <si>
    <t>PAY-0581</t>
  </si>
  <si>
    <t>PAY-0423</t>
  </si>
  <si>
    <t>PAY-0348</t>
  </si>
  <si>
    <t>PAY-0361</t>
  </si>
  <si>
    <t>PAY-0308</t>
  </si>
  <si>
    <t>PAY-0710</t>
  </si>
  <si>
    <t>PAY-0697</t>
  </si>
  <si>
    <t>PAY-0396</t>
  </si>
  <si>
    <t>PAY-0737</t>
  </si>
  <si>
    <t>PAY-0628</t>
  </si>
  <si>
    <t>PAY-0252</t>
  </si>
  <si>
    <t>PAY-0859</t>
  </si>
  <si>
    <t>PAY-0290</t>
  </si>
  <si>
    <t>PAY-0123</t>
  </si>
  <si>
    <t>PAY-0090</t>
  </si>
  <si>
    <t>PAY-0630</t>
  </si>
  <si>
    <t>PAY-0338</t>
  </si>
  <si>
    <t>PAY-0117</t>
  </si>
  <si>
    <t>PAY-0023</t>
  </si>
  <si>
    <t>PAY-0133</t>
  </si>
  <si>
    <t>PAY-0381</t>
  </si>
  <si>
    <t>PAY-0538</t>
  </si>
  <si>
    <t>PAY-0223</t>
  </si>
  <si>
    <t>PAY-0562</t>
  </si>
  <si>
    <t>PAY-0626</t>
  </si>
  <si>
    <t>PAY-0328</t>
  </si>
  <si>
    <t>PAY-0119</t>
  </si>
  <si>
    <t>PAY-0923</t>
  </si>
  <si>
    <t>PAY-0882</t>
  </si>
  <si>
    <t>PAY-0877</t>
  </si>
  <si>
    <t>PAY-0455</t>
  </si>
  <si>
    <t>PAY-0709</t>
  </si>
  <si>
    <t>PAY-0107</t>
  </si>
  <si>
    <t>PAY-0511</t>
  </si>
  <si>
    <t>PAY-0160</t>
  </si>
  <si>
    <t>PAY-0596</t>
  </si>
  <si>
    <t>PAY-0670</t>
  </si>
  <si>
    <t>PAY-0467</t>
  </si>
  <si>
    <t>PAY-0316</t>
  </si>
  <si>
    <t>PAY-0355</t>
  </si>
  <si>
    <t>PAY-0300</t>
  </si>
  <si>
    <t>PAY-0191</t>
  </si>
  <si>
    <t>PAY-0551</t>
  </si>
  <si>
    <t>PAY-0821</t>
  </si>
  <si>
    <t>PAY-0033</t>
  </si>
  <si>
    <t>PAY-0815</t>
  </si>
  <si>
    <t>PAY-0676</t>
  </si>
  <si>
    <t>PAY-0993</t>
  </si>
  <si>
    <t>PAY-0028</t>
  </si>
  <si>
    <t>PAY-0982</t>
  </si>
  <si>
    <t>PAY-0310</t>
  </si>
  <si>
    <t>PAY-0819</t>
  </si>
  <si>
    <t>PAY-0750</t>
  </si>
  <si>
    <t>PAY-0668</t>
  </si>
  <si>
    <t>PAY-0842</t>
  </si>
  <si>
    <t>PAY-0074</t>
  </si>
  <si>
    <t>PAY-0647</t>
  </si>
  <si>
    <t>PAY-0043</t>
  </si>
  <si>
    <t>PAY-0132</t>
  </si>
  <si>
    <t>PAY-0573</t>
  </si>
  <si>
    <t>PAY-0967</t>
  </si>
  <si>
    <t>PAY-0246</t>
  </si>
  <si>
    <t>PAY-0952</t>
  </si>
  <si>
    <t>PAY-0989</t>
  </si>
  <si>
    <t>PAY-0228</t>
  </si>
  <si>
    <t>PAY-0571</t>
  </si>
  <si>
    <t>PAY-0113</t>
  </si>
  <si>
    <t>PAY-0237</t>
  </si>
  <si>
    <t>PAY-0725</t>
  </si>
  <si>
    <t>PAY-0209</t>
  </si>
  <si>
    <t>PAY-0823</t>
  </si>
  <si>
    <t>PAY-0177</t>
  </si>
  <si>
    <t>PAY-0128</t>
  </si>
  <si>
    <t>PAY-0738</t>
  </si>
  <si>
    <t>PAY-0126</t>
  </si>
  <si>
    <t>PAY-0922</t>
  </si>
  <si>
    <t>PAY-0951</t>
  </si>
  <si>
    <t>PAY-0751</t>
  </si>
  <si>
    <t>PAY-0305</t>
  </si>
  <si>
    <t>PAY-0099</t>
  </si>
  <si>
    <t>PAY-0561</t>
  </si>
  <si>
    <t>PAY-0462</t>
  </si>
  <si>
    <t>PAY-0203</t>
  </si>
  <si>
    <t>PAY-0078</t>
  </si>
  <si>
    <t>PAY-0073</t>
  </si>
  <si>
    <t>PAY-0026</t>
  </si>
  <si>
    <t>PAY-0421</t>
  </si>
  <si>
    <t>PAY-0047</t>
  </si>
  <si>
    <t>PAY-0487</t>
  </si>
  <si>
    <t>PAY-0570</t>
  </si>
  <si>
    <t>PAY-0109</t>
  </si>
  <si>
    <t>PAY-0211</t>
  </si>
  <si>
    <t>PAY-0849</t>
  </si>
  <si>
    <t>PAY-0391</t>
  </si>
  <si>
    <t>PAY-0891</t>
  </si>
  <si>
    <t>PAY-0683</t>
  </si>
  <si>
    <t>PAY-0854</t>
  </si>
  <si>
    <t>PAY-0402</t>
  </si>
  <si>
    <t>PAY-0802</t>
  </si>
  <si>
    <t>PAY-0297</t>
  </si>
  <si>
    <t>PAY-0054</t>
  </si>
  <si>
    <t>PAY-0775</t>
  </si>
  <si>
    <t>PAY-0763</t>
  </si>
  <si>
    <t>PAY-0770</t>
  </si>
  <si>
    <t>PAY-0897</t>
  </si>
  <si>
    <t>PAY-0281</t>
  </si>
  <si>
    <t>PAY-0323</t>
  </si>
  <si>
    <t>PAY-0212</t>
  </si>
  <si>
    <t>PAY-0335</t>
  </si>
  <si>
    <t>PAY-0372</t>
  </si>
  <si>
    <t>PAY-0034</t>
  </si>
  <si>
    <t>PAY-0256</t>
  </si>
  <si>
    <t>PAY-0309</t>
  </si>
  <si>
    <t>PAY-0767</t>
  </si>
  <si>
    <t>PAY-0704</t>
  </si>
  <si>
    <t>PAY-0648</t>
  </si>
  <si>
    <t>PAY-0754</t>
  </si>
  <si>
    <t>PAY-0059</t>
  </si>
  <si>
    <t>PAY-0696</t>
  </si>
  <si>
    <t>PAY-0986</t>
  </si>
  <si>
    <t>PAY-0079</t>
  </si>
  <si>
    <t>PAY-0376</t>
  </si>
  <si>
    <t>PAY-0040</t>
  </si>
  <si>
    <t>PAY-0801</t>
  </si>
  <si>
    <t>PAY-0715</t>
  </si>
  <si>
    <t>PAY-0779</t>
  </si>
  <si>
    <t>PAY-0832</t>
  </si>
  <si>
    <t>PAY-0218</t>
  </si>
  <si>
    <t>PAY-0239</t>
  </si>
  <si>
    <t>PAY-0998</t>
  </si>
  <si>
    <t>PAY-0831</t>
  </si>
  <si>
    <t>PAY-0395</t>
  </si>
  <si>
    <t>PAY-0436</t>
  </si>
  <si>
    <t>PAY-0178</t>
  </si>
  <si>
    <t>PAY-0420</t>
  </si>
  <si>
    <t>PAY-0987</t>
  </si>
  <si>
    <t>PAY-0797</t>
  </si>
  <si>
    <t>PAY-0061</t>
  </si>
  <si>
    <t>PAY-0156</t>
  </si>
  <si>
    <t>PAY-0539</t>
  </si>
  <si>
    <t>PAY-0853</t>
  </si>
  <si>
    <t>PAY-0739</t>
  </si>
  <si>
    <t>PAY-0369</t>
  </si>
  <si>
    <t>PAY-0937</t>
  </si>
  <si>
    <t>PAY-0342</t>
  </si>
  <si>
    <t>PAY-0217</t>
  </si>
  <si>
    <t>PAY-0174</t>
  </si>
  <si>
    <t>PAY-0874</t>
  </si>
  <si>
    <t>PAY-0529</t>
  </si>
  <si>
    <t>PAY-0262</t>
  </si>
  <si>
    <t>PAY-0410</t>
  </si>
  <si>
    <t>PAY-0633</t>
  </si>
  <si>
    <t>PAY-0285</t>
  </si>
  <si>
    <t>PAY-0404</t>
  </si>
  <si>
    <t>PAY-0847</t>
  </si>
  <si>
    <t>PAY-0524</t>
  </si>
  <si>
    <t>PAY-0227</t>
  </si>
  <si>
    <t>PAY-0276</t>
  </si>
  <si>
    <t>PAY-0231</t>
  </si>
  <si>
    <t>PAY-0213</t>
  </si>
  <si>
    <t>PAY-0260</t>
  </si>
  <si>
    <t>PAY-0337</t>
  </si>
  <si>
    <t>PAY-0619</t>
  </si>
  <si>
    <t>PAY-0214</t>
  </si>
  <si>
    <t>PAY-0220</t>
  </si>
  <si>
    <t>PAY-0472</t>
  </si>
  <si>
    <t>PAY-0071</t>
  </si>
  <si>
    <t>PAY-0844</t>
  </si>
  <si>
    <t>PAY-0206</t>
  </si>
  <si>
    <t>PAY-0953</t>
  </si>
  <si>
    <t>PAY-0883</t>
  </si>
  <si>
    <t>PAY-0735</t>
  </si>
  <si>
    <t>PAY-0264</t>
  </si>
  <si>
    <t>PAY-0360</t>
  </si>
  <si>
    <t>PAY-0612</t>
  </si>
  <si>
    <t>PAY-0478</t>
  </si>
  <si>
    <t>PAY-0140</t>
  </si>
  <si>
    <t>PAY-0534</t>
  </si>
  <si>
    <t>PAY-0245</t>
  </si>
  <si>
    <t>PAY-0544</t>
  </si>
  <si>
    <t>PAY-0837</t>
  </si>
  <si>
    <t>PAY-0288</t>
  </si>
  <si>
    <t>PAY-0665</t>
  </si>
  <si>
    <t>PAY-0363</t>
  </si>
  <si>
    <t>PAY-0893</t>
  </si>
  <si>
    <t>PAY-0682</t>
  </si>
  <si>
    <t>PAY-0852</t>
  </si>
  <si>
    <t>PAY-0470</t>
  </si>
  <si>
    <t>PAY-0765</t>
  </si>
  <si>
    <t>PAY-0623</t>
  </si>
  <si>
    <t>PAY-0019</t>
  </si>
  <si>
    <t>PAY-0980</t>
  </si>
  <si>
    <t>PAY-0949</t>
  </si>
  <si>
    <t>PAY-0930</t>
  </si>
  <si>
    <t>PAY-0650</t>
  </si>
  <si>
    <t>PAY-0137</t>
  </si>
  <si>
    <t>PAY-0788</t>
  </si>
  <si>
    <t>PAY-0834</t>
  </si>
  <si>
    <t>PAY-0498</t>
  </si>
  <si>
    <t>PAY-0589</t>
  </si>
  <si>
    <t>PAY-0219</t>
  </si>
  <si>
    <t>PAY-0488</t>
  </si>
  <si>
    <t>PAY-0810</t>
  </si>
  <si>
    <t>PAY-0451</t>
  </si>
  <si>
    <t>PAY-0702</t>
  </si>
  <si>
    <t>PAY-0215</t>
  </si>
  <si>
    <t>PAY-0110</t>
  </si>
  <si>
    <t>PAY-0519</t>
  </si>
  <si>
    <t>PAY-0458</t>
  </si>
  <si>
    <t>PAY-0585</t>
  </si>
  <si>
    <t>PAY-0657</t>
  </si>
  <si>
    <t>PAY-0879</t>
  </si>
  <si>
    <t>PAY-0104</t>
  </si>
  <si>
    <t>PAY-0333</t>
  </si>
  <si>
    <t>PAY-0961</t>
  </si>
  <si>
    <t>PAY-0963</t>
  </si>
  <si>
    <t>PAY-0233</t>
  </si>
  <si>
    <t>PAY-0440</t>
  </si>
  <si>
    <t>PAY-0994</t>
  </si>
  <si>
    <t>PAY-0046</t>
  </si>
  <si>
    <t>PAY-0654</t>
  </si>
  <si>
    <t>PAY-0514</t>
  </si>
  <si>
    <t>PAY-0960</t>
  </si>
  <si>
    <t>PAY-0784</t>
  </si>
  <si>
    <t>PAY-0671</t>
  </si>
  <si>
    <t>PAY-0567</t>
  </si>
  <si>
    <t>PAY-0956</t>
  </si>
  <si>
    <t>PAY-0907</t>
  </si>
  <si>
    <t>PAY-0298</t>
  </si>
  <si>
    <t>PAY-0171</t>
  </si>
  <si>
    <t>PAY-0640</t>
  </si>
  <si>
    <t>PAY-0102</t>
  </si>
  <si>
    <t>PAY-0025</t>
  </si>
  <si>
    <t>PAY-0620</t>
  </si>
  <si>
    <t>PAY-0568</t>
  </si>
  <si>
    <t>PAY-0307</t>
  </si>
  <si>
    <t>PAY-0846</t>
  </si>
  <si>
    <t>PAY-0806</t>
  </si>
  <si>
    <t>PAY-0556</t>
  </si>
  <si>
    <t>PAY-0506</t>
  </si>
  <si>
    <t>PAY-0263</t>
  </si>
  <si>
    <t>PAY-0546</t>
  </si>
  <si>
    <t>PAY-0062</t>
  </si>
  <si>
    <t>PAY-0320</t>
  </si>
  <si>
    <t>PAY-0726</t>
  </si>
  <si>
    <t>PAY-0157</t>
  </si>
  <si>
    <t>PAY-0425</t>
  </si>
  <si>
    <t>PAY-0347</t>
  </si>
  <si>
    <t>PAY-0721</t>
  </si>
  <si>
    <t>PAY-0669</t>
  </si>
  <si>
    <t>PAY-0678</t>
  </si>
  <si>
    <t>PAY-0871</t>
  </si>
  <si>
    <t>PAY-0924</t>
  </si>
  <si>
    <t>PAY-0746</t>
  </si>
  <si>
    <t>PAY-0313</t>
  </si>
  <si>
    <t>PAY-0009</t>
  </si>
  <si>
    <t>PAY-0939</t>
  </si>
  <si>
    <t>PAY-0477</t>
  </si>
  <si>
    <t>PAY-0814</t>
  </si>
  <si>
    <t>PAY-0135</t>
  </si>
  <si>
    <t>PAY-0266</t>
  </si>
  <si>
    <t>PAY-0251</t>
  </si>
  <si>
    <t>PAY-0886</t>
  </si>
  <si>
    <t>PAY-0014</t>
  </si>
  <si>
    <t>PAY-0188</t>
  </si>
  <si>
    <t>PAY-0881</t>
  </si>
  <si>
    <t>PAY-0985</t>
  </si>
  <si>
    <t>PAY-0364</t>
  </si>
  <si>
    <t>PAY-0777</t>
  </si>
  <si>
    <t>PAY-0925</t>
  </si>
  <si>
    <t>PAY-0259</t>
  </si>
  <si>
    <t>PAY-0115</t>
  </si>
  <si>
    <t>PAY-0761</t>
  </si>
  <si>
    <t>PAY-0972</t>
  </si>
  <si>
    <t>PAY-0471</t>
  </si>
  <si>
    <t>PAY-0312</t>
  </si>
  <si>
    <t>PAY-0577</t>
  </si>
  <si>
    <t>PAY-0489</t>
  </si>
  <si>
    <t>PAY-0480</t>
  </si>
  <si>
    <t>PAY-0807</t>
  </si>
  <si>
    <t>PAY-0427</t>
  </si>
  <si>
    <t>PAY-0673</t>
  </si>
  <si>
    <t>PAY-0818</t>
  </si>
  <si>
    <t>PAY-0088</t>
  </si>
  <si>
    <t>PAY-0431</t>
  </si>
  <si>
    <t>PAY-0464</t>
  </si>
  <si>
    <t>PAY-0716</t>
  </si>
  <si>
    <t>PAY-0457</t>
  </si>
  <si>
    <t>PAY-0728</t>
  </si>
  <si>
    <t>PAY-0248</t>
  </si>
  <si>
    <t>PAY-0370</t>
  </si>
  <si>
    <t>PAY-0928</t>
  </si>
  <si>
    <t>PAY-0841</t>
  </si>
  <si>
    <t>PAY-0864</t>
  </si>
  <si>
    <t>PAY-0610</t>
  </si>
  <si>
    <t>PAY-0708</t>
  </si>
  <si>
    <t>PAY-0497</t>
  </si>
  <si>
    <t>PAY-0351</t>
  </si>
  <si>
    <t>PAY-0566</t>
  </si>
  <si>
    <t>PAY-0565</t>
  </si>
  <si>
    <t>PAY-0085</t>
  </si>
  <si>
    <t>PAY-0723</t>
  </si>
  <si>
    <t>PAY-0652</t>
  </si>
  <si>
    <t>PAY-0053</t>
  </si>
  <si>
    <t>PAY-0294</t>
  </si>
  <si>
    <t>PAY-0280</t>
  </si>
  <si>
    <t>PAY-0100</t>
  </si>
  <si>
    <t>PAY-0114</t>
  </si>
  <si>
    <t>PAY-0869</t>
  </si>
  <si>
    <t>PAY-0501</t>
  </si>
  <si>
    <t>PAY-0772</t>
  </si>
  <si>
    <t>PAY-0295</t>
  </si>
  <si>
    <t>PAY-0379</t>
  </si>
  <si>
    <t>PAY-0499</t>
  </si>
  <si>
    <t>PAY-0491</t>
  </si>
  <si>
    <t>PAY-0734</t>
  </si>
  <si>
    <t>PAY-0325</t>
  </si>
  <si>
    <t>PAY-0127</t>
  </si>
  <si>
    <t>PAY-0621</t>
  </si>
  <si>
    <t>PAY-0492</t>
  </si>
  <si>
    <t>PAY-0599</t>
  </si>
  <si>
    <t>PAY-0314</t>
  </si>
  <si>
    <t>PAY-0793</t>
  </si>
  <si>
    <t>PAY-0424</t>
  </si>
  <si>
    <t>PAY-0181</t>
  </si>
  <si>
    <t>PAY-0072</t>
  </si>
  <si>
    <t>PAY-0517</t>
  </si>
  <si>
    <t>PAY-0450</t>
  </si>
  <si>
    <t>PAY-0700</t>
  </si>
  <si>
    <t>PAY-0904</t>
  </si>
  <si>
    <t>PAY-0202</t>
  </si>
  <si>
    <t>PAY-0496</t>
  </si>
  <si>
    <t>PAY-0790</t>
  </si>
  <si>
    <t>PAY-0129</t>
  </si>
  <si>
    <t>PAY-0484</t>
  </si>
  <si>
    <t>PAY-0778</t>
  </si>
  <si>
    <t>PAY-0629</t>
  </si>
  <si>
    <t>PAY-0591</t>
  </si>
  <si>
    <t>PAY-0383</t>
  </si>
  <si>
    <t>PAY-0825</t>
  </si>
  <si>
    <t>PAY-0091</t>
  </si>
  <si>
    <t>PAY-0278</t>
  </si>
  <si>
    <t>PAY-0971</t>
  </si>
  <si>
    <t>PAY-0764</t>
  </si>
  <si>
    <t>PAY-0086</t>
  </si>
  <si>
    <t>PAY-0064</t>
  </si>
  <si>
    <t>PAY-0856</t>
  </si>
  <si>
    <t>PAY-0659</t>
  </si>
  <si>
    <t>PAY-0502</t>
  </si>
  <si>
    <t>PAY-0667</t>
  </si>
  <si>
    <t>PAY-0934</t>
  </si>
  <si>
    <t>PAY-0352</t>
  </si>
  <si>
    <t>PAY-0170</t>
  </si>
  <si>
    <t>PAY-0983</t>
  </si>
  <si>
    <t>PAY-0373</t>
  </si>
  <si>
    <t>PAY-0196</t>
  </si>
  <si>
    <t>PAY-0733</t>
  </si>
  <si>
    <t>PAY-0387</t>
  </si>
  <si>
    <t>PAY-0590</t>
  </si>
  <si>
    <t>PAY-0828</t>
  </si>
  <si>
    <t>PAY-0530</t>
  </si>
  <si>
    <t>PAY-0340</t>
  </si>
  <si>
    <t>PAY-0582</t>
  </si>
  <si>
    <t>PAY-0941</t>
  </si>
  <si>
    <t>PAY-0138</t>
  </si>
  <si>
    <t>PAY-0357</t>
  </si>
  <si>
    <t>PAY-0545</t>
  </si>
  <si>
    <t>PAY-0189</t>
  </si>
  <si>
    <t>PAY-0608</t>
  </si>
  <si>
    <t>PAY-0920</t>
  </si>
  <si>
    <t>PAY-0321</t>
  </si>
  <si>
    <t>PAY-0901</t>
  </si>
  <si>
    <t>PAY-0884</t>
  </si>
  <si>
    <t>PAY-0500</t>
  </si>
  <si>
    <t>PAY-0205</t>
  </si>
  <si>
    <t>PAY-0707</t>
  </si>
  <si>
    <t>PAY-0269</t>
  </si>
  <si>
    <t>PAY-0981</t>
  </si>
  <si>
    <t>PAY-0758</t>
  </si>
  <si>
    <t>PAY-0885</t>
  </si>
  <si>
    <t>PAY-0865</t>
  </si>
  <si>
    <t>PAY-0405</t>
  </si>
  <si>
    <t>PAY-0755</t>
  </si>
  <si>
    <t>PAY-0384</t>
  </si>
  <si>
    <t>PAY-0253</t>
  </si>
  <si>
    <t>PAY-0867</t>
  </si>
  <si>
    <t>PAY-0635</t>
  </si>
  <si>
    <t>PAY-0265</t>
  </si>
  <si>
    <t>PAY-0915</t>
  </si>
  <si>
    <t>PAY-0067</t>
  </si>
  <si>
    <t>PAY-0945</t>
  </si>
  <si>
    <t>PAY-0429</t>
  </si>
  <si>
    <t>PAY-0158</t>
  </si>
  <si>
    <t>PAY-0510</t>
  </si>
  <si>
    <t>PAY-0447</t>
  </si>
  <si>
    <t>PAY-0918</t>
  </si>
  <si>
    <t>PAY-0781</t>
  </si>
  <si>
    <t>PAY-0613</t>
  </si>
  <si>
    <t>PAY-0507</t>
  </si>
  <si>
    <t>PAY-0473</t>
  </si>
  <si>
    <t>PAY-0066</t>
  </si>
  <si>
    <t>PAY-0080</t>
  </si>
  <si>
    <t>PAY-0390</t>
  </si>
  <si>
    <t>PAY-0282</t>
  </si>
  <si>
    <t>PAY-0540</t>
  </si>
  <si>
    <t>PAY-0811</t>
  </si>
  <si>
    <t>PAY-0651</t>
  </si>
  <si>
    <t>PAY-0789</t>
  </si>
  <si>
    <t>PAY-0606</t>
  </si>
  <si>
    <t>PAY-0400</t>
  </si>
  <si>
    <t>PAY-0745</t>
  </si>
  <si>
    <t>PAY-0412</t>
  </si>
  <si>
    <t>PAY-0899</t>
  </si>
  <si>
    <t>PAY-0184</t>
  </si>
  <si>
    <t>PAY-0366</t>
  </si>
  <si>
    <t>PAY-0094</t>
  </si>
  <si>
    <t>PAY-0773</t>
  </si>
  <si>
    <t>PAY-0037</t>
  </si>
  <si>
    <t>PAY-0947</t>
  </si>
  <si>
    <t>PAY-0644</t>
  </si>
  <si>
    <t>PAY-0804</t>
  </si>
  <si>
    <t>PAY-0356</t>
  </si>
  <si>
    <t>PAY-0291</t>
  </si>
  <si>
    <t>PAY-0592</t>
  </si>
  <si>
    <t>PAY-0809</t>
  </si>
  <si>
    <t>PAY-0525</t>
  </si>
  <si>
    <t>PAY-0346</t>
  </si>
  <si>
    <t>PAY-0306</t>
  </si>
  <si>
    <t>PAY-0759</t>
  </si>
  <si>
    <t>PAY-0299</t>
  </si>
  <si>
    <t>PAY-0520</t>
  </si>
  <si>
    <t>PAY-0662</t>
  </si>
  <si>
    <t>PAY-0444</t>
  </si>
  <si>
    <t>PAY-0236</t>
  </si>
  <si>
    <t>PAY-0035</t>
  </si>
  <si>
    <t>PAY-0991</t>
  </si>
  <si>
    <t>PAY-0039</t>
  </si>
  <si>
    <t>PAY-0130</t>
  </si>
  <si>
    <t>PAY-0163</t>
  </si>
  <si>
    <t>PAY-0017</t>
  </si>
  <si>
    <t>PAY-0296</t>
  </si>
  <si>
    <t>PAY-0995</t>
  </si>
  <si>
    <t>PAY-0962</t>
  </si>
  <si>
    <t>PAY-0241</t>
  </si>
  <si>
    <t>PAY-0275</t>
  </si>
  <si>
    <t>PAY-0786</t>
  </si>
  <si>
    <t>PAY-0041</t>
  </si>
  <si>
    <t>PAY-0660</t>
  </si>
  <si>
    <t>PAY-0616</t>
  </si>
  <si>
    <t>PAY-0143</t>
  </si>
  <si>
    <t>PAY-0959</t>
  </si>
  <si>
    <t>PAY-0940</t>
  </si>
  <si>
    <t>PAY-0536</t>
  </si>
  <si>
    <t>PAY-0798</t>
  </si>
  <si>
    <t>PAY-0154</t>
  </si>
  <si>
    <t>PAY-0601</t>
  </si>
  <si>
    <t>PAY-0272</t>
  </si>
  <si>
    <t>PAY-0108</t>
  </si>
  <si>
    <t>PAY-0760</t>
  </si>
  <si>
    <t>PAY-0805</t>
  </si>
  <si>
    <t>PAY-0344</t>
  </si>
  <si>
    <t>PAY-0598</t>
  </si>
  <si>
    <t>PAY-0999</t>
  </si>
  <si>
    <t>PAY-0403</t>
  </si>
  <si>
    <t>PAY-0089</t>
  </si>
  <si>
    <t>PAY-0164</t>
  </si>
  <si>
    <t>PAY-0336</t>
  </si>
  <si>
    <t>PAY-0358</t>
  </si>
  <si>
    <t>PAY-0833</t>
  </si>
  <si>
    <t>PAY-0185</t>
  </si>
  <si>
    <t>PAY-0637</t>
  </si>
  <si>
    <t>PAY-0087</t>
  </si>
  <si>
    <t>PAY-0946</t>
  </si>
  <si>
    <t>PAY-0554</t>
  </si>
  <si>
    <t>PAY-0692</t>
  </si>
  <si>
    <t>PAY-0003</t>
  </si>
  <si>
    <t>PAY-0374</t>
  </si>
  <si>
    <t>PAY-0872</t>
  </si>
  <si>
    <t>PAY-0888</t>
  </si>
  <si>
    <t>PAY-0531</t>
  </si>
  <si>
    <t>PAY-0415</t>
  </si>
  <si>
    <t>PAY-0242</t>
  </si>
  <si>
    <t>PAY-0509</t>
  </si>
  <si>
    <t>PAY-0609</t>
  </si>
  <si>
    <t>PAY-0063</t>
  </si>
  <si>
    <t>PAY-0835</t>
  </si>
  <si>
    <t>PAY-0730</t>
  </si>
  <si>
    <t>PAY-0122</t>
  </si>
  <si>
    <t>PAY-0762</t>
  </si>
  <si>
    <t>PAY-0439</t>
  </si>
  <si>
    <t>PAY-0718</t>
  </si>
  <si>
    <t>PAY-0603</t>
  </si>
  <si>
    <t>PAY-0505</t>
  </si>
  <si>
    <t>PAY-0740</t>
  </si>
  <si>
    <t>PAY-0461</t>
  </si>
  <si>
    <t>PAY-0636</t>
  </si>
  <si>
    <t>PAY-0235</t>
  </si>
  <si>
    <t>PAY-0030</t>
  </si>
  <si>
    <t>PAY-0419</t>
  </si>
  <si>
    <t>PAY-0327</t>
  </si>
  <si>
    <t>PAY-0557</t>
  </si>
  <si>
    <t>PAY-0843</t>
  </si>
  <si>
    <t>PAY-0528</t>
  </si>
  <si>
    <t>PAY-0118</t>
  </si>
  <si>
    <t>PAY-0249</t>
  </si>
  <si>
    <t>PAY-0553</t>
  </si>
  <si>
    <t>PAY-0729</t>
  </si>
  <si>
    <t>PAY-0868</t>
  </si>
  <si>
    <t>PAY-0240</t>
  </si>
  <si>
    <t>PAY-0449</t>
  </si>
  <si>
    <t>PAY-0799</t>
  </si>
  <si>
    <t>PAY-0876</t>
  </si>
  <si>
    <t>PAY-0349</t>
  </si>
  <si>
    <t>PAY-0905</t>
  </si>
  <si>
    <t>PAY-0880</t>
  </si>
  <si>
    <t>PAY-0724</t>
  </si>
  <si>
    <t>PAY-0430</t>
  </si>
  <si>
    <t>PAY-0532</t>
  </si>
  <si>
    <t>PAY-0268</t>
  </si>
  <si>
    <t>PAY-0199</t>
  </si>
  <si>
    <t>PAY-0661</t>
  </si>
  <si>
    <t>PAY-0187</t>
  </si>
  <si>
    <t>PAY-0550</t>
  </si>
  <si>
    <t>PAY-0604</t>
  </si>
  <si>
    <t>PAY-0752</t>
  </si>
  <si>
    <t>PAY-0753</t>
  </si>
  <si>
    <t>PAY-0166</t>
  </si>
  <si>
    <t>PAY-0015</t>
  </si>
  <si>
    <t>PAY-0929</t>
  </si>
  <si>
    <t>PAY-0192</t>
  </si>
  <si>
    <t>PAY-0175</t>
  </si>
  <si>
    <t>PAY-0701</t>
  </si>
  <si>
    <t>PAY-0512</t>
  </si>
  <si>
    <t>PAY-0475</t>
  </si>
  <si>
    <t>PAY-0906</t>
  </si>
  <si>
    <t>PAY-0973</t>
  </si>
  <si>
    <t>PAY-0548</t>
  </si>
  <si>
    <t>PAY-0482</t>
  </si>
  <si>
    <t>PAY-0950</t>
  </si>
  <si>
    <t>PAY-0711</t>
  </si>
  <si>
    <t>PAY-0257</t>
  </si>
  <si>
    <t>PAY-0714</t>
  </si>
  <si>
    <t>PAY-0463</t>
  </si>
  <si>
    <t>PAY-0243</t>
  </si>
  <si>
    <t>PAY-0055</t>
  </si>
  <si>
    <t>PAY-0913</t>
  </si>
  <si>
    <t>PAY-0442</t>
  </si>
  <si>
    <t>PAY-0097</t>
  </si>
  <si>
    <t>PAY-0045</t>
  </si>
  <si>
    <t>PAY-0523</t>
  </si>
  <si>
    <t>PAY-0966</t>
  </si>
  <si>
    <t>PAY-0406</t>
  </si>
  <si>
    <t>PAY-0964</t>
  </si>
  <si>
    <t>PAY-0747</t>
  </si>
  <si>
    <t>PAY-0331</t>
  </si>
  <si>
    <t>PAY-0593</t>
  </si>
  <si>
    <t>PAY-0173</t>
  </si>
  <si>
    <t>PAY-0051</t>
  </si>
  <si>
    <t>PAY-0607</t>
  </si>
  <si>
    <t>PAY-0271</t>
  </si>
  <si>
    <t>PAY-0315</t>
  </si>
  <si>
    <t>PAY-0304</t>
  </si>
  <si>
    <t>PAY-0559</t>
  </si>
  <si>
    <t>PAY-0830</t>
  </si>
  <si>
    <t>PAY-0817</t>
  </si>
  <si>
    <t>PAY-0459</t>
  </si>
  <si>
    <t>PAY-0224</t>
  </si>
  <si>
    <t>PAY-0861</t>
  </si>
  <si>
    <t>PAY-0125</t>
  </si>
  <si>
    <t>PAY-0386</t>
  </si>
  <si>
    <t>PAY-0722</t>
  </si>
  <si>
    <t>PAY-0588</t>
  </si>
  <si>
    <t>PAY-0560</t>
  </si>
  <si>
    <t>PAY-0774</t>
  </si>
  <si>
    <t>PAY-0719</t>
  </si>
  <si>
    <t>PAY-0727</t>
  </si>
  <si>
    <t>PAY-0326</t>
  </si>
  <si>
    <t>PAY-0686</t>
  </si>
  <si>
    <t>PAY-0526</t>
  </si>
  <si>
    <t>PAY-0244</t>
  </si>
  <si>
    <t>PAY-0433</t>
  </si>
  <si>
    <t>PAY-0225</t>
  </si>
  <si>
    <t>PAY-0116</t>
  </si>
  <si>
    <t>PAY-0389</t>
  </si>
  <si>
    <t>PAY-0001</t>
  </si>
  <si>
    <t>PAY-0168</t>
  </si>
  <si>
    <t>PAY-0618</t>
  </si>
  <si>
    <t>PAY-0081</t>
  </si>
  <si>
    <t>PAY-0105</t>
  </si>
  <si>
    <t>PAY-0695</t>
  </si>
  <si>
    <t>PAY-0836</t>
  </si>
  <si>
    <t>PAY-0210</t>
  </si>
  <si>
    <t>PAY-0011</t>
  </si>
  <si>
    <t>PAY-0476</t>
  </si>
  <si>
    <t>PAY-0082</t>
  </si>
  <si>
    <t>PAY-0890</t>
  </si>
  <si>
    <t>PAY-0479</t>
  </si>
  <si>
    <t>PAY-0112</t>
  </si>
  <si>
    <t>PAY-0411</t>
  </si>
  <si>
    <t>PAY-0354</t>
  </si>
  <si>
    <t>PAY-0731</t>
  </si>
  <si>
    <t>PAY-0176</t>
  </si>
  <si>
    <t>PAY-0367</t>
  </si>
  <si>
    <t>PAY-0858</t>
  </si>
  <si>
    <t>PAY-0136</t>
  </si>
  <si>
    <t>PAY-0238</t>
  </si>
  <si>
    <t>PAY-0794</t>
  </si>
  <si>
    <t>PAY-0208</t>
  </si>
  <si>
    <t>PAY-0204</t>
  </si>
  <si>
    <t>PAY-0978</t>
  </si>
  <si>
    <t>PAY-0935</t>
  </si>
  <si>
    <t>PAY-0741</t>
  </si>
  <si>
    <t>PAY-0547</t>
  </si>
  <si>
    <t>PAY-0691</t>
  </si>
  <si>
    <t>PAY-0537</t>
  </si>
  <si>
    <t>PAY-0407</t>
  </si>
  <si>
    <t>PAY-0954</t>
  </si>
  <si>
    <t>PAY-0270</t>
  </si>
  <si>
    <t>PAY-0069</t>
  </si>
  <si>
    <t>PAY-0927</t>
  </si>
  <si>
    <t>PAY-0955</t>
  </si>
  <si>
    <t>PAY-0990</t>
  </si>
  <si>
    <t>PAY-0165</t>
  </si>
  <si>
    <t>PAY-0049</t>
  </si>
  <si>
    <t>PAY-0997</t>
  </si>
  <si>
    <t>PAY-0486</t>
  </si>
  <si>
    <t>PAY-0641</t>
  </si>
  <si>
    <t>PAY-0743</t>
  </si>
  <si>
    <t>PAY-0504</t>
  </si>
  <si>
    <t>PAY-0095</t>
  </si>
  <si>
    <t>PAY-0569</t>
  </si>
  <si>
    <t>PAY-0020</t>
  </si>
  <si>
    <t>PAY-0979</t>
  </si>
  <si>
    <t>PAY-0141</t>
  </si>
  <si>
    <t>PAY-0611</t>
  </si>
  <si>
    <t>PAY-0134</t>
  </si>
  <si>
    <t>PAY-0688</t>
  </si>
  <si>
    <t>PAY-0862</t>
  </si>
  <si>
    <t>PAY-0413</t>
  </si>
  <si>
    <t>PAY-0744</t>
  </si>
  <si>
    <t>PAY-0144</t>
  </si>
  <si>
    <t>PAY-0460</t>
  </si>
  <si>
    <t>PAY-0732</t>
  </si>
  <si>
    <t>PAY-0060</t>
  </si>
  <si>
    <t>PAY-0167</t>
  </si>
  <si>
    <t>PAY-0826</t>
  </si>
  <si>
    <t>PAY-0289</t>
  </si>
  <si>
    <t>PAY-0614</t>
  </si>
  <si>
    <t>PAY-0787</t>
  </si>
  <si>
    <t>PAY-0452</t>
  </si>
  <si>
    <t>PAY-0508</t>
  </si>
  <si>
    <t>PAY-0916</t>
  </si>
  <si>
    <t>PAY-0277</t>
  </si>
  <si>
    <t>PAY-0287</t>
  </si>
  <si>
    <t>PAY-0996</t>
  </si>
  <si>
    <t>PAY-0931</t>
  </si>
  <si>
    <t>PAY-0378</t>
  </si>
  <si>
    <t>PAY-0748</t>
  </si>
  <si>
    <t>PAY-0052</t>
  </si>
  <si>
    <t>PAY-0148</t>
  </si>
  <si>
    <t>PAY-0643</t>
  </si>
  <si>
    <t>PAY-0422</t>
  </si>
  <si>
    <t>PAY-0942</t>
  </si>
  <si>
    <t>PAY-0454</t>
  </si>
  <si>
    <t>PAY-0597</t>
  </si>
  <si>
    <t>PAY-0201</t>
  </si>
  <si>
    <t>PAY-0965</t>
  </si>
  <si>
    <t>PAY-0182</t>
  </si>
  <si>
    <t>PAY-0984</t>
  </si>
  <si>
    <t>PAY-0465</t>
  </si>
  <si>
    <t>PAY-0056</t>
  </si>
  <si>
    <t>PAY-0330</t>
  </si>
  <si>
    <t>PAY-0756</t>
  </si>
  <si>
    <t>PAY-0932</t>
  </si>
  <si>
    <t>PAY-0645</t>
  </si>
  <si>
    <t>PAY-0301</t>
  </si>
  <si>
    <t>PAY-0083</t>
  </si>
  <si>
    <t>PAY-0286</t>
  </si>
  <si>
    <t>PAY-0664</t>
  </si>
  <si>
    <t>PAY-0813</t>
  </si>
  <si>
    <t>PAY-0058</t>
  </si>
  <si>
    <t>PAY-0541</t>
  </si>
  <si>
    <t>PAY-0385</t>
  </si>
  <si>
    <t>PAY-0068</t>
  </si>
  <si>
    <t>PAY-0050</t>
  </si>
  <si>
    <t>PAY-0027</t>
  </si>
  <si>
    <t>PAY-0343</t>
  </si>
  <si>
    <t>PAY-0627</t>
  </si>
  <si>
    <t>PAY-0198</t>
  </si>
  <si>
    <t>PAY-0685</t>
  </si>
  <si>
    <t>PAY-0084</t>
  </si>
  <si>
    <t>PAY-0077</t>
  </si>
  <si>
    <t>PAY-0207</t>
  </si>
  <si>
    <t>PAY-0516</t>
  </si>
  <si>
    <t>PAY-0397</t>
  </si>
  <si>
    <t>PAY-0892</t>
  </si>
  <si>
    <t>PAY-0120</t>
  </si>
  <si>
    <t>PAY-0958</t>
  </si>
  <si>
    <t>PAY-0065</t>
  </si>
  <si>
    <t>PAY-0399</t>
  </si>
  <si>
    <t>PAY-0401</t>
  </si>
  <si>
    <t>PAY-0615</t>
  </si>
  <si>
    <t>PAY-0887</t>
  </si>
  <si>
    <t>PAY-0527</t>
  </si>
  <si>
    <t>PAY-0684</t>
  </si>
  <si>
    <t>PAY-0007</t>
  </si>
  <si>
    <t>PAY-0002</t>
  </si>
  <si>
    <t>PAY-0230</t>
  </si>
  <si>
    <t>PAY-0771</t>
  </si>
  <si>
    <t>PAY-0490</t>
  </si>
  <si>
    <t>PAY-0169</t>
  </si>
  <si>
    <t>PAY-0900</t>
  </si>
  <si>
    <t>PAY-0042</t>
  </si>
  <si>
    <t>PAY-0642</t>
  </si>
  <si>
    <t>PAY-0279</t>
  </si>
  <si>
    <t>PAY-0522</t>
  </si>
  <si>
    <t>PAY-0319</t>
  </si>
  <si>
    <t>PAY-0792</t>
  </si>
  <si>
    <t>PAY-0816</t>
  </si>
  <si>
    <t>PAY-0602</t>
  </si>
  <si>
    <t>PAY-0247</t>
  </si>
  <si>
    <t>PAY-0153</t>
  </si>
  <si>
    <t>PAY-0555</t>
  </si>
  <si>
    <t>PAY-0409</t>
  </si>
  <si>
    <t>PAY-0274</t>
  </si>
  <si>
    <t>PAY-0796</t>
  </si>
  <si>
    <t>PAY-0197</t>
  </si>
  <si>
    <t>PAY-0258</t>
  </si>
  <si>
    <t>PAY-0124</t>
  </si>
  <si>
    <t>PAY-0769</t>
  </si>
  <si>
    <t>PAY-0345</t>
  </si>
  <si>
    <t>PAY-0586</t>
  </si>
  <si>
    <t>PAY-0322</t>
  </si>
  <si>
    <t>PAY-0542</t>
  </si>
  <si>
    <t>PAY-0969</t>
  </si>
  <si>
    <t>PAY-0974</t>
  </si>
  <si>
    <t>PAY-0785</t>
  </si>
  <si>
    <t>PAY-0150</t>
  </si>
  <si>
    <t>PAY-0703</t>
  </si>
  <si>
    <t>PAY-0851</t>
  </si>
  <si>
    <t>PAY-0689</t>
  </si>
  <si>
    <t>PAY-0101</t>
  </si>
  <si>
    <t>PAY-0437</t>
  </si>
  <si>
    <t>PAY-0829</t>
  </si>
  <si>
    <t>PAY-0494</t>
  </si>
  <si>
    <t>PAY-0936</t>
  </si>
  <si>
    <t>PAY-0016</t>
  </si>
  <si>
    <t>PAY-0938</t>
  </si>
  <si>
    <t>PAY-0850</t>
  </si>
  <si>
    <t>PAY-0075</t>
  </si>
  <si>
    <t>PAY-0646</t>
  </si>
  <si>
    <t>PAY-0417</t>
  </si>
  <si>
    <t>PAY-0910</t>
  </si>
  <si>
    <t>PAY-0388</t>
  </si>
  <si>
    <t>PAY-0587</t>
  </si>
  <si>
    <t>PAY-0392</t>
  </si>
  <si>
    <t>PAY-0564</t>
  </si>
  <si>
    <t>PAY-0896</t>
  </si>
  <si>
    <t>PAY-0096</t>
  </si>
  <si>
    <t>PAY-0273</t>
  </si>
  <si>
    <t>PAY-0677</t>
  </si>
  <si>
    <t>PAY-0902</t>
  </si>
  <si>
    <t>PAY-0895</t>
  </si>
  <si>
    <t>PAY-0693</t>
  </si>
  <si>
    <t>PAY-0558</t>
  </si>
  <si>
    <t>PAY-0368</t>
  </si>
  <si>
    <t>PAY-0782</t>
  </si>
  <si>
    <t>PAY-0605</t>
  </si>
  <si>
    <t>PAY-0416</t>
  </si>
  <si>
    <t>PAY-0992</t>
  </si>
  <si>
    <t>PAY-1000</t>
  </si>
  <si>
    <t>PAY-0870</t>
  </si>
  <si>
    <t>PAY-0824</t>
  </si>
  <si>
    <t>PAY-0563</t>
  </si>
  <si>
    <t>PAY-0031</t>
  </si>
  <si>
    <t>PAY-0350</t>
  </si>
  <si>
    <t>PAY-0445</t>
  </si>
  <si>
    <t>PAY-0625</t>
  </si>
  <si>
    <t>PAY-0580</t>
  </si>
  <si>
    <t>PAY-0712</t>
  </si>
  <si>
    <t>PAY-0146</t>
  </si>
  <si>
    <t>PAY-0948</t>
  </si>
  <si>
    <t>PAY-0680</t>
  </si>
  <si>
    <t>PAY-0957</t>
  </si>
  <si>
    <t>PAY-0353</t>
  </si>
  <si>
    <t>PAY-0004</t>
  </si>
  <si>
    <t>PAY-0848</t>
  </si>
  <si>
    <t>PAY-0292</t>
  </si>
  <si>
    <t>PAY-0839</t>
  </si>
  <si>
    <t>PAY-0857</t>
  </si>
  <si>
    <t>PAY-0018</t>
  </si>
  <si>
    <t>PAY-0776</t>
  </si>
  <si>
    <t>PAY-0575</t>
  </si>
  <si>
    <t>PAY-0919</t>
  </si>
  <si>
    <t>PAY-0674</t>
  </si>
  <si>
    <t>PAY-0142</t>
  </si>
  <si>
    <t>PAY-0933</t>
  </si>
  <si>
    <t>PAY-0921</t>
  </si>
  <si>
    <t>PAY-0250</t>
  </si>
  <si>
    <t>PAY-0666</t>
  </si>
  <si>
    <t>PAY-0371</t>
  </si>
  <si>
    <t>PAY-0617</t>
  </si>
  <si>
    <t>PAY-0679</t>
  </si>
  <si>
    <t>PAY-0687</t>
  </si>
  <si>
    <t>PAY-0334</t>
  </si>
  <si>
    <t>PAY-0226</t>
  </si>
  <si>
    <t>PAY-0622</t>
  </si>
  <si>
    <t>PAY-0533</t>
  </si>
  <si>
    <t>PAY-0234</t>
  </si>
  <si>
    <t>PAY-0742</t>
  </si>
  <si>
    <t>PAY-0576</t>
  </si>
  <si>
    <t>PAY-0317</t>
  </si>
  <si>
    <t>PAY-0222</t>
  </si>
  <si>
    <t>PAY-0768</t>
  </si>
  <si>
    <t>PAY-0179</t>
  </si>
  <si>
    <t>PAY-0453</t>
  </si>
  <si>
    <t>PAY-0658</t>
  </si>
  <si>
    <t>PAY-0032</t>
  </si>
  <si>
    <t>PAY-0914</t>
  </si>
  <si>
    <t>PAY-0428</t>
  </si>
  <si>
    <t>PAY-0783</t>
  </si>
  <si>
    <t>PAY-0469</t>
  </si>
  <si>
    <t>PAY-0121</t>
  </si>
  <si>
    <t>PAY-0656</t>
  </si>
  <si>
    <t>PAY-0408</t>
  </si>
  <si>
    <t>PAY-0159</t>
  </si>
  <si>
    <t>PAY-0485</t>
  </si>
  <si>
    <t>PAY-0572</t>
  </si>
  <si>
    <t>PAY-0024</t>
  </si>
  <si>
    <t>PAY-0717</t>
  </si>
  <si>
    <t>PAY-0638</t>
  </si>
  <si>
    <t>PAY-0418</t>
  </si>
  <si>
    <t>PAY-0057</t>
  </si>
  <si>
    <t>PAY-0574</t>
  </si>
  <si>
    <t>PAY-0578</t>
  </si>
  <si>
    <t>PAY-0414</t>
  </si>
  <si>
    <t>PAY-0441</t>
  </si>
  <si>
    <t>PAY-0795</t>
  </si>
  <si>
    <t>PAY-0145</t>
  </si>
  <si>
    <t>PAY-0970</t>
  </si>
  <si>
    <t>PAY-0988</t>
  </si>
  <si>
    <t>PAY-0229</t>
  </si>
  <si>
    <t>PAY-0840</t>
  </si>
  <si>
    <t>PAY-0827</t>
  </si>
  <si>
    <t>PAY-0800</t>
  </si>
  <si>
    <t>PAY-0860</t>
  </si>
  <si>
    <t>PAY-0190</t>
  </si>
  <si>
    <t>PAY-0111</t>
  </si>
  <si>
    <t>PAY-0195</t>
  </si>
  <si>
    <t>PAY-0912</t>
  </si>
  <si>
    <t>PAY-0180</t>
  </si>
  <si>
    <t>PAY-0977</t>
  </si>
  <si>
    <t>PAY-0200</t>
  </si>
  <si>
    <t>PAY-0878</t>
  </si>
  <si>
    <t>PAY-0812</t>
  </si>
  <si>
    <t>PAY-0634</t>
  </si>
  <si>
    <t>PAY-0584</t>
  </si>
  <si>
    <t>PAY-0318</t>
  </si>
  <si>
    <t>PAY-0909</t>
  </si>
  <si>
    <t>PAY-0513</t>
  </si>
  <si>
    <t>PAY-0791</t>
  </si>
  <si>
    <t>PAY-0022</t>
  </si>
  <si>
    <t>PAY-0302</t>
  </si>
  <si>
    <t>PAY-0106</t>
  </si>
  <si>
    <t>PAY-0579</t>
  </si>
  <si>
    <t>PAY-0339</t>
  </si>
  <si>
    <t>PAY-0151</t>
  </si>
  <si>
    <t>PAY-0255</t>
  </si>
  <si>
    <t>PAY-0583</t>
  </si>
  <si>
    <t>PAY-0975</t>
  </si>
  <si>
    <t>PAY-0653</t>
  </si>
  <si>
    <t>PAY-0394</t>
  </si>
  <si>
    <t>PAY-0594</t>
  </si>
  <si>
    <t>PAY-0375</t>
  </si>
  <si>
    <t>PAY-0803</t>
  </si>
  <si>
    <t>PAY-0549</t>
  </si>
  <si>
    <t>PAY-0149</t>
  </si>
  <si>
    <t>PAY-0303</t>
  </si>
  <si>
    <t>PAY-0535</t>
  </si>
  <si>
    <t>PAY-0911</t>
  </si>
  <si>
    <t>PAY-0092</t>
  </si>
  <si>
    <t>PAY-0468</t>
  </si>
  <si>
    <t>PAY-0875</t>
  </si>
  <si>
    <t>PAY-0780</t>
  </si>
  <si>
    <t>Row Labels</t>
  </si>
  <si>
    <t>Grand Total</t>
  </si>
  <si>
    <t>Sum of amount_billed</t>
  </si>
  <si>
    <t>Total units consumed</t>
  </si>
  <si>
    <t>Average of days_to_pay</t>
  </si>
  <si>
    <t>Column Labels</t>
  </si>
  <si>
    <t>Sum of amount_paid</t>
  </si>
  <si>
    <t>Count of payment_id</t>
  </si>
  <si>
    <t>Total Amount Billed</t>
  </si>
  <si>
    <t>Total Amount Paid</t>
  </si>
  <si>
    <t>Revenue gap</t>
  </si>
  <si>
    <t>Collection Rate %</t>
  </si>
  <si>
    <t>Values</t>
  </si>
  <si>
    <t>Total</t>
  </si>
  <si>
    <t>CY</t>
  </si>
  <si>
    <t>PY</t>
  </si>
  <si>
    <t>YOY%</t>
  </si>
  <si>
    <t>Total Amount paid</t>
  </si>
  <si>
    <t>Revenue Gap</t>
  </si>
  <si>
    <t>collection rate</t>
  </si>
  <si>
    <t>Collection rate</t>
  </si>
  <si>
    <t>Average days to pay</t>
  </si>
  <si>
    <t>Total Customers</t>
  </si>
  <si>
    <t>KPIs</t>
  </si>
  <si>
    <t>All</t>
  </si>
  <si>
    <t>Total amount_paid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</si>
</sst>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yyyy"/>
    <numFmt numFmtId="165" formatCode="_([$€-2]\ * #,##0.00_);_([$€-2]\ * \(#,##0.00\);_([$€-2]\ * &quot;-&quot;??_);_(@_)"/>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2"/>
        <bgColor indexed="64"/>
      </patternFill>
    </fill>
    <fill>
      <patternFill patternType="solid">
        <fgColor theme="9" tint="0.39997558519241921"/>
        <bgColor indexed="64"/>
      </patternFill>
    </fill>
    <fill>
      <patternFill patternType="solid">
        <fgColor rgb="FFFF333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165" fontId="0" fillId="0" borderId="0" xfId="0" applyNumberFormat="1"/>
    <xf numFmtId="9" fontId="0" fillId="0" borderId="0" xfId="1" applyFont="1"/>
    <xf numFmtId="9" fontId="0" fillId="0" borderId="0" xfId="0" applyNumberFormat="1"/>
    <xf numFmtId="0" fontId="0" fillId="2" borderId="0" xfId="0" applyFill="1"/>
    <xf numFmtId="0" fontId="0" fillId="2" borderId="0" xfId="0" applyFill="1" applyAlignment="1">
      <alignment horizontal="center"/>
    </xf>
    <xf numFmtId="0" fontId="0" fillId="3" borderId="0" xfId="0" applyFill="1"/>
    <xf numFmtId="0" fontId="2" fillId="0" borderId="0" xfId="0" applyFont="1" applyAlignment="1">
      <alignment horizontal="left"/>
    </xf>
    <xf numFmtId="0" fontId="2" fillId="5" borderId="0" xfId="0" applyFont="1" applyFill="1" applyAlignment="1">
      <alignment horizontal="left"/>
    </xf>
    <xf numFmtId="165" fontId="2" fillId="5" borderId="0" xfId="0" applyNumberFormat="1" applyFont="1" applyFill="1"/>
    <xf numFmtId="165" fontId="2" fillId="0" borderId="0" xfId="0" applyNumberFormat="1" applyFont="1"/>
    <xf numFmtId="0" fontId="2" fillId="4" borderId="0" xfId="0" applyFont="1" applyFill="1" applyAlignment="1">
      <alignment horizontal="left"/>
    </xf>
    <xf numFmtId="165" fontId="2" fillId="4" borderId="0" xfId="0" applyNumberFormat="1" applyFont="1" applyFill="1"/>
    <xf numFmtId="9" fontId="2" fillId="0" borderId="0" xfId="1" applyFont="1"/>
    <xf numFmtId="9" fontId="2" fillId="5" borderId="0" xfId="1" applyFont="1" applyFill="1"/>
    <xf numFmtId="9" fontId="2" fillId="4" borderId="0" xfId="1" applyFont="1" applyFill="1"/>
  </cellXfs>
  <cellStyles count="2">
    <cellStyle name="Normal" xfId="0" builtinId="0"/>
    <cellStyle name="Percent" xfId="1" builtinId="5"/>
  </cellStyles>
  <dxfs count="31">
    <dxf>
      <numFmt numFmtId="1" formatCode="0"/>
    </dxf>
    <dxf>
      <numFmt numFmtId="165" formatCode="_([$€-2]\ * #,##0.00_);_([$€-2]\ * \(#,##0.00\);_([$€-2]\ * &quot;-&quot;??_);_(@_)"/>
    </dxf>
    <dxf>
      <numFmt numFmtId="165" formatCode="_([$€-2]\ * #,##0.00_);_([$€-2]\ * \(#,##0.00\);_([$€-2]\ * &quot;-&quot;??_);_(@_)"/>
    </dxf>
    <dxf>
      <numFmt numFmtId="1" formatCode="0"/>
    </dxf>
    <dxf>
      <font>
        <b/>
      </font>
    </dxf>
    <dxf>
      <font>
        <b/>
      </font>
    </dxf>
    <dxf>
      <font>
        <b/>
      </font>
    </dxf>
    <dxf>
      <fill>
        <patternFill>
          <bgColor rgb="FFFF3333"/>
        </patternFill>
      </fill>
    </dxf>
    <dxf>
      <fill>
        <patternFill>
          <bgColor rgb="FFFF3333"/>
        </patternFill>
      </fill>
    </dxf>
    <dxf>
      <fill>
        <patternFill patternType="solid">
          <bgColor rgb="FFFF0000"/>
        </patternFill>
      </fill>
    </dxf>
    <dxf>
      <fill>
        <patternFill patternType="solid">
          <bgColor rgb="FFFF0000"/>
        </patternFill>
      </fill>
    </dxf>
    <dxf>
      <fill>
        <patternFill patternType="solid">
          <bgColor theme="9" tint="0.39997558519241921"/>
        </patternFill>
      </fill>
    </dxf>
    <dxf>
      <fill>
        <patternFill patternType="solid">
          <bgColor theme="9" tint="0.39997558519241921"/>
        </patternFill>
      </fill>
    </dxf>
    <dxf>
      <numFmt numFmtId="165" formatCode="_([$€-2]\ * #,##0.00_);_([$€-2]\ * \(#,##0.00\);_([$€-2]\ * &quot;-&quot;??_);_(@_)"/>
    </dxf>
    <dxf>
      <numFmt numFmtId="165" formatCode="_([$€-2]\ * #,##0.00_);_([$€-2]\ * \(#,##0.00\);_([$€-2]\ * &quot;-&quot;??_);_(@_)"/>
    </dxf>
    <dxf>
      <numFmt numFmtId="165" formatCode="_([$€-2]\ * #,##0.00_);_([$€-2]\ * \(#,##0.00\);_([$€-2]\ * &quot;-&quot;??_);_(@_)"/>
    </dxf>
    <dxf>
      <numFmt numFmtId="1" formatCode="0"/>
    </dxf>
    <dxf>
      <numFmt numFmtId="1" formatCode="0"/>
    </dxf>
    <dxf>
      <numFmt numFmtId="164" formatCode="dd/mm/yyyy"/>
    </dxf>
    <dxf>
      <numFmt numFmtId="164" formatCode="dd/mm/yyyy"/>
    </dxf>
    <dxf>
      <numFmt numFmtId="164" formatCode="dd/mm/yyyy"/>
    </dxf>
    <dxf>
      <font>
        <b/>
        <i val="0"/>
        <sz val="12"/>
        <name val="Book Antiqua"/>
        <family val="1"/>
        <scheme val="none"/>
      </font>
      <fill>
        <patternFill>
          <bgColor rgb="FF0DC590"/>
        </patternFill>
      </fill>
    </dxf>
    <dxf>
      <font>
        <b/>
        <i val="0"/>
        <sz val="12"/>
        <name val="Book Antiqua"/>
        <family val="1"/>
        <scheme val="none"/>
      </font>
      <fill>
        <patternFill>
          <bgColor rgb="FF0ED49B"/>
        </patternFill>
      </fill>
    </dxf>
    <dxf>
      <fill>
        <patternFill>
          <bgColor rgb="FFEA6E1A"/>
        </patternFill>
      </fill>
    </dxf>
    <dxf>
      <font>
        <b/>
        <i val="0"/>
        <sz val="12"/>
        <name val="Book Antiqua"/>
        <family val="1"/>
        <scheme val="none"/>
      </font>
      <fill>
        <patternFill>
          <bgColor rgb="FFEE8640"/>
        </patternFill>
      </fill>
    </dxf>
    <dxf>
      <font>
        <b/>
        <i val="0"/>
        <sz val="12"/>
        <name val="Book Antiqua"/>
        <family val="1"/>
        <scheme val="none"/>
      </font>
      <fill>
        <patternFill>
          <bgColor rgb="FF7C35B1"/>
        </patternFill>
      </fill>
    </dxf>
    <dxf>
      <font>
        <b/>
        <i val="0"/>
        <sz val="12"/>
        <name val="Book Antiqua"/>
        <family val="1"/>
        <scheme val="none"/>
      </font>
      <fill>
        <patternFill>
          <bgColor rgb="FF934ACA"/>
        </patternFill>
      </fill>
    </dxf>
    <dxf>
      <font>
        <b/>
        <i val="0"/>
        <sz val="12"/>
        <color auto="1"/>
        <name val="Book Antiqua"/>
        <family val="1"/>
        <scheme val="none"/>
      </font>
      <fill>
        <patternFill>
          <bgColor rgb="FF934ACA"/>
        </patternFill>
      </fill>
    </dxf>
    <dxf>
      <font>
        <b/>
        <i val="0"/>
        <sz val="12"/>
        <color theme="0"/>
        <name val="Book Antiqua"/>
        <family val="1"/>
        <scheme val="none"/>
      </font>
      <fill>
        <patternFill>
          <bgColor rgb="FF934ACA"/>
        </patternFill>
      </fill>
    </dxf>
    <dxf>
      <fill>
        <patternFill>
          <bgColor rgb="FF5500A2"/>
        </patternFill>
      </fill>
    </dxf>
    <dxf>
      <font>
        <b/>
        <i val="0"/>
        <sz val="12"/>
        <name val="Book Antiqua"/>
        <family val="1"/>
        <scheme val="none"/>
      </font>
      <fill>
        <patternFill>
          <bgColor rgb="FF934ACA"/>
        </patternFill>
      </fill>
    </dxf>
  </dxfs>
  <tableStyles count="6" defaultTableStyle="TableStyleMedium2" defaultPivotStyle="PivotStyleLight16">
    <tableStyle name="Slicer Style 1" pivot="0" table="0" count="5" xr9:uid="{F0B97A14-A5C1-49A8-B4EE-D423E77ACB66}">
      <tableStyleElement type="wholeTable" dxfId="30"/>
      <tableStyleElement type="headerRow" dxfId="29"/>
    </tableStyle>
    <tableStyle name="Slicer Style 2" pivot="0" table="0" count="2" xr9:uid="{46D9BB33-A9F3-477E-AD7A-4CC3A06F147F}">
      <tableStyleElement type="wholeTable" dxfId="28"/>
    </tableStyle>
    <tableStyle name="Slicer Style 3" pivot="0" table="0" count="1" xr9:uid="{0382AB7C-E2D0-4589-ACBA-5142A5D51285}">
      <tableStyleElement type="wholeTable" dxfId="27"/>
    </tableStyle>
    <tableStyle name="Slicer Style 4" pivot="0" table="0" count="4" xr9:uid="{90FBB37E-5E1E-4BE7-96C3-08D836DBAFBF}">
      <tableStyleElement type="wholeTable" dxfId="26"/>
      <tableStyleElement type="headerRow" dxfId="25"/>
    </tableStyle>
    <tableStyle name="Slicer Style 5" pivot="0" table="0" count="4" xr9:uid="{38BFC6E4-C22A-415B-B0C1-DE2F5A7F55DB}">
      <tableStyleElement type="wholeTable" dxfId="24"/>
      <tableStyleElement type="headerRow" dxfId="23"/>
    </tableStyle>
    <tableStyle name="Slicer Style 6" pivot="0" table="0" count="4" xr9:uid="{6E0B67C9-AB68-48A2-A3D3-537F4B79DC96}">
      <tableStyleElement type="wholeTable" dxfId="22"/>
      <tableStyleElement type="headerRow" dxfId="21"/>
    </tableStyle>
  </tableStyles>
  <colors>
    <mruColors>
      <color rgb="FFFF3333"/>
      <color rgb="FF0DC590"/>
      <color rgb="FF0ED49B"/>
      <color rgb="FFEA6E1A"/>
      <color rgb="FFEE8640"/>
      <color rgb="FF8238BA"/>
      <color rgb="FF7C35B1"/>
      <color rgb="FF934ACA"/>
      <color rgb="FF5500A2"/>
      <color rgb="FF0DC38F"/>
    </mruColors>
  </colors>
  <extLst>
    <ext xmlns:x14="http://schemas.microsoft.com/office/spreadsheetml/2009/9/main" uri="{46F421CA-312F-682f-3DD2-61675219B42D}">
      <x14:dxfs count="10">
        <dxf>
          <font>
            <b/>
            <i val="0"/>
            <sz val="12"/>
            <name val="Book Antiqua"/>
            <family val="1"/>
            <scheme val="none"/>
          </font>
          <fill>
            <patternFill>
              <bgColor rgb="FF0DC590"/>
            </patternFill>
          </fill>
        </dxf>
        <dxf>
          <font>
            <b/>
            <i val="0"/>
            <sz val="12"/>
            <name val="Book Antiqua"/>
            <family val="1"/>
            <scheme val="none"/>
          </font>
          <fill>
            <patternFill>
              <bgColor rgb="FF0DC590"/>
            </patternFill>
          </fill>
        </dxf>
        <dxf>
          <font>
            <b/>
            <i val="0"/>
            <sz val="12"/>
            <name val="Book Antiqua"/>
            <family val="1"/>
            <scheme val="none"/>
          </font>
          <fill>
            <patternFill>
              <bgColor rgb="FFEA6E1A"/>
            </patternFill>
          </fill>
        </dxf>
        <dxf>
          <font>
            <b/>
            <i val="0"/>
            <sz val="12"/>
            <name val="Book Antiqua"/>
            <family val="1"/>
            <scheme val="none"/>
          </font>
          <fill>
            <patternFill>
              <bgColor rgb="FFEA6E1A"/>
            </patternFill>
          </fill>
        </dxf>
        <dxf>
          <font>
            <b/>
            <i val="0"/>
            <sz val="12"/>
            <name val="Book Antiqua"/>
            <family val="1"/>
            <scheme val="none"/>
          </font>
          <fill>
            <patternFill>
              <bgColor rgb="FF7C35B1"/>
            </patternFill>
          </fill>
        </dxf>
        <dxf>
          <font>
            <b/>
            <i val="0"/>
            <sz val="12"/>
            <name val="Book Antiqua"/>
            <family val="1"/>
            <scheme val="none"/>
          </font>
          <fill>
            <patternFill>
              <bgColor rgb="FF8238BA"/>
            </patternFill>
          </fill>
        </dxf>
        <dxf>
          <font>
            <b/>
            <i val="0"/>
            <sz val="12"/>
            <color theme="0"/>
            <name val="Book Antiqua"/>
            <family val="1"/>
            <scheme val="none"/>
          </font>
          <fill>
            <patternFill>
              <bgColor theme="7" tint="0.79998168889431442"/>
            </patternFill>
          </fill>
        </dxf>
        <dxf>
          <fill>
            <patternFill>
              <bgColor theme="7" tint="0.39994506668294322"/>
            </patternFill>
          </fill>
        </dxf>
        <dxf>
          <fill>
            <patternFill>
              <bgColor theme="7" tint="0.59996337778862885"/>
            </patternFill>
          </fill>
        </dxf>
        <dxf>
          <fill>
            <patternFill>
              <bgColor rgb="FF934ACA"/>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 type="hoveredSelectedItemWithData" dxfId="7"/>
          </x14:slicerStyleElements>
        </x14:slicerStyle>
        <x14:slicerStyle name="Slicer Style 2">
          <x14:slicerStyleElements>
            <x14:slicerStyleElement type="selectedItemWithData" dxfId="6"/>
          </x14:slicerStyleElements>
        </x14:slicerStyle>
        <x14:slicerStyle name="Slicer Style 3"/>
        <x14:slicerStyle name="Slicer Style 4">
          <x14:slicerStyleElements>
            <x14:slicerStyleElement type="unselectedItemWithData" dxfId="5"/>
            <x14:slicerStyleElement type="selectedItemWithData" dxfId="4"/>
          </x14:slicerStyleElements>
        </x14:slicerStyle>
        <x14:slicerStyle name="Slicer Style 5">
          <x14:slicerStyleElements>
            <x14:slicerStyleElement type="unselectedItemWithData" dxfId="3"/>
            <x14:slicerStyleElement type="selectedItemWithData" dxfId="2"/>
          </x14:slicerStyleElements>
        </x14:slicerStyle>
        <x14:slicerStyle name="Slicer Style 6">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5.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4.xml"/><Relationship Id="rId28"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3.xml"/><Relationship Id="rId27" Type="http://schemas.openxmlformats.org/officeDocument/2006/relationships/styles" Target="style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[Utility Billing Trend Analysis 1.xlsx]Pivot_table!PivotTable4</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0ED49B"/>
          </a:solidFill>
          <a:ln>
            <a:noFill/>
          </a:ln>
          <a:effectLst/>
        </c:spPr>
        <c:marker>
          <c:symbol val="none"/>
        </c:marker>
      </c:pivotFmt>
      <c:pivotFmt>
        <c:idx val="7"/>
        <c:spPr>
          <a:solidFill>
            <a:srgbClr val="EE8640"/>
          </a:solidFill>
          <a:ln>
            <a:noFill/>
          </a:ln>
          <a:effectLst/>
        </c:spPr>
        <c:marker>
          <c:symbol val="none"/>
        </c:marker>
      </c:pivotFmt>
      <c:pivotFmt>
        <c:idx val="8"/>
        <c:spPr>
          <a:solidFill>
            <a:srgbClr val="934ACA"/>
          </a:solidFill>
          <a:ln>
            <a:noFill/>
          </a:ln>
          <a:effectLst/>
        </c:spPr>
        <c:marker>
          <c:symbol val="none"/>
        </c:marker>
      </c:pivotFmt>
      <c:pivotFmt>
        <c:idx val="9"/>
        <c:spPr>
          <a:solidFill>
            <a:srgbClr val="0ED49B"/>
          </a:solidFill>
          <a:ln>
            <a:noFill/>
          </a:ln>
          <a:effectLst/>
        </c:spPr>
        <c:marker>
          <c:symbol val="none"/>
        </c:marker>
      </c:pivotFmt>
      <c:pivotFmt>
        <c:idx val="10"/>
        <c:spPr>
          <a:solidFill>
            <a:srgbClr val="EE8640"/>
          </a:solidFill>
          <a:ln>
            <a:noFill/>
          </a:ln>
          <a:effectLst/>
        </c:spPr>
        <c:marker>
          <c:symbol val="none"/>
        </c:marker>
      </c:pivotFmt>
      <c:pivotFmt>
        <c:idx val="11"/>
        <c:spPr>
          <a:solidFill>
            <a:srgbClr val="934ACA"/>
          </a:solidFill>
          <a:ln>
            <a:noFill/>
          </a:ln>
          <a:effectLst/>
        </c:spPr>
        <c:marker>
          <c:symbol val="none"/>
        </c:marker>
      </c:pivotFmt>
      <c:pivotFmt>
        <c:idx val="12"/>
        <c:spPr>
          <a:solidFill>
            <a:srgbClr val="0ED49B"/>
          </a:solidFill>
          <a:ln>
            <a:noFill/>
          </a:ln>
          <a:effectLst/>
        </c:spPr>
        <c:marker>
          <c:symbol val="none"/>
        </c:marker>
      </c:pivotFmt>
      <c:pivotFmt>
        <c:idx val="13"/>
        <c:spPr>
          <a:solidFill>
            <a:srgbClr val="EE8640"/>
          </a:solidFill>
          <a:ln>
            <a:noFill/>
          </a:ln>
          <a:effectLst/>
        </c:spPr>
        <c:marker>
          <c:symbol val="none"/>
        </c:marker>
      </c:pivotFmt>
      <c:pivotFmt>
        <c:idx val="14"/>
        <c:spPr>
          <a:solidFill>
            <a:srgbClr val="934ACA"/>
          </a:solidFill>
          <a:ln>
            <a:noFill/>
          </a:ln>
          <a:effectLst/>
        </c:spPr>
        <c:marker>
          <c:symbol val="none"/>
        </c:marker>
      </c:pivotFmt>
    </c:pivotFmts>
    <c:plotArea>
      <c:layout>
        <c:manualLayout>
          <c:layoutTarget val="inner"/>
          <c:xMode val="edge"/>
          <c:yMode val="edge"/>
          <c:x val="4.3679419880207286E-2"/>
          <c:y val="2.2385385820500689E-2"/>
          <c:w val="0.93412729658792648"/>
          <c:h val="0.72156479168955945"/>
        </c:manualLayout>
      </c:layout>
      <c:barChart>
        <c:barDir val="col"/>
        <c:grouping val="clustered"/>
        <c:varyColors val="0"/>
        <c:ser>
          <c:idx val="0"/>
          <c:order val="0"/>
          <c:tx>
            <c:strRef>
              <c:f>Pivot_table!$F$19:$F$20</c:f>
              <c:strCache>
                <c:ptCount val="1"/>
                <c:pt idx="0">
                  <c:v>Commercial</c:v>
                </c:pt>
              </c:strCache>
            </c:strRef>
          </c:tx>
          <c:spPr>
            <a:solidFill>
              <a:srgbClr val="0ED49B"/>
            </a:solidFill>
            <a:ln>
              <a:noFill/>
            </a:ln>
            <a:effectLst/>
          </c:spPr>
          <c:invertIfNegative val="0"/>
          <c:cat>
            <c:strRef>
              <c:f>Pivot_table!$E$21:$E$29</c:f>
              <c:strCache>
                <c:ptCount val="8"/>
                <c:pt idx="0">
                  <c:v>Birmingham</c:v>
                </c:pt>
                <c:pt idx="1">
                  <c:v>Bristol</c:v>
                </c:pt>
                <c:pt idx="2">
                  <c:v>Edinburgh</c:v>
                </c:pt>
                <c:pt idx="3">
                  <c:v>Glasgow</c:v>
                </c:pt>
                <c:pt idx="4">
                  <c:v>Leeds</c:v>
                </c:pt>
                <c:pt idx="5">
                  <c:v>London</c:v>
                </c:pt>
                <c:pt idx="6">
                  <c:v>Manchester</c:v>
                </c:pt>
                <c:pt idx="7">
                  <c:v>Sheffield</c:v>
                </c:pt>
              </c:strCache>
            </c:strRef>
          </c:cat>
          <c:val>
            <c:numRef>
              <c:f>Pivot_table!$F$21:$F$29</c:f>
              <c:numCache>
                <c:formatCode>0</c:formatCode>
                <c:ptCount val="8"/>
                <c:pt idx="0">
                  <c:v>18.368421052631579</c:v>
                </c:pt>
                <c:pt idx="1">
                  <c:v>21.722222222222221</c:v>
                </c:pt>
                <c:pt idx="2">
                  <c:v>17.09090909090909</c:v>
                </c:pt>
                <c:pt idx="3">
                  <c:v>13.333333333333334</c:v>
                </c:pt>
                <c:pt idx="4">
                  <c:v>18.416666666666668</c:v>
                </c:pt>
                <c:pt idx="5">
                  <c:v>18.222222222222221</c:v>
                </c:pt>
                <c:pt idx="6">
                  <c:v>25.828571428571429</c:v>
                </c:pt>
                <c:pt idx="7">
                  <c:v>14.315789473684211</c:v>
                </c:pt>
              </c:numCache>
            </c:numRef>
          </c:val>
          <c:extLst>
            <c:ext xmlns:c16="http://schemas.microsoft.com/office/drawing/2014/chart" uri="{C3380CC4-5D6E-409C-BE32-E72D297353CC}">
              <c16:uniqueId val="{00000000-676B-4B0F-B57E-0C155D221013}"/>
            </c:ext>
          </c:extLst>
        </c:ser>
        <c:ser>
          <c:idx val="1"/>
          <c:order val="1"/>
          <c:tx>
            <c:strRef>
              <c:f>Pivot_table!$G$19:$G$20</c:f>
              <c:strCache>
                <c:ptCount val="1"/>
                <c:pt idx="0">
                  <c:v>Industrial</c:v>
                </c:pt>
              </c:strCache>
            </c:strRef>
          </c:tx>
          <c:spPr>
            <a:solidFill>
              <a:srgbClr val="EE8640"/>
            </a:solidFill>
            <a:ln>
              <a:noFill/>
            </a:ln>
            <a:effectLst/>
          </c:spPr>
          <c:invertIfNegative val="0"/>
          <c:cat>
            <c:strRef>
              <c:f>Pivot_table!$E$21:$E$29</c:f>
              <c:strCache>
                <c:ptCount val="8"/>
                <c:pt idx="0">
                  <c:v>Birmingham</c:v>
                </c:pt>
                <c:pt idx="1">
                  <c:v>Bristol</c:v>
                </c:pt>
                <c:pt idx="2">
                  <c:v>Edinburgh</c:v>
                </c:pt>
                <c:pt idx="3">
                  <c:v>Glasgow</c:v>
                </c:pt>
                <c:pt idx="4">
                  <c:v>Leeds</c:v>
                </c:pt>
                <c:pt idx="5">
                  <c:v>London</c:v>
                </c:pt>
                <c:pt idx="6">
                  <c:v>Manchester</c:v>
                </c:pt>
                <c:pt idx="7">
                  <c:v>Sheffield</c:v>
                </c:pt>
              </c:strCache>
            </c:strRef>
          </c:cat>
          <c:val>
            <c:numRef>
              <c:f>Pivot_table!$G$21:$G$29</c:f>
              <c:numCache>
                <c:formatCode>0</c:formatCode>
                <c:ptCount val="8"/>
                <c:pt idx="0">
                  <c:v>27.111111111111111</c:v>
                </c:pt>
                <c:pt idx="1">
                  <c:v>15.2</c:v>
                </c:pt>
                <c:pt idx="2">
                  <c:v>18.954545454545453</c:v>
                </c:pt>
                <c:pt idx="3">
                  <c:v>25.606060606060606</c:v>
                </c:pt>
                <c:pt idx="4">
                  <c:v>17.195121951219512</c:v>
                </c:pt>
                <c:pt idx="5">
                  <c:v>21.227272727272727</c:v>
                </c:pt>
                <c:pt idx="6">
                  <c:v>17.071428571428573</c:v>
                </c:pt>
                <c:pt idx="7">
                  <c:v>24.761904761904763</c:v>
                </c:pt>
              </c:numCache>
            </c:numRef>
          </c:val>
          <c:extLst>
            <c:ext xmlns:c16="http://schemas.microsoft.com/office/drawing/2014/chart" uri="{C3380CC4-5D6E-409C-BE32-E72D297353CC}">
              <c16:uniqueId val="{00000000-B41B-4A18-9779-9C7B1DA7AE68}"/>
            </c:ext>
          </c:extLst>
        </c:ser>
        <c:ser>
          <c:idx val="2"/>
          <c:order val="2"/>
          <c:tx>
            <c:strRef>
              <c:f>Pivot_table!$H$19:$H$20</c:f>
              <c:strCache>
                <c:ptCount val="1"/>
                <c:pt idx="0">
                  <c:v>Residential</c:v>
                </c:pt>
              </c:strCache>
            </c:strRef>
          </c:tx>
          <c:spPr>
            <a:solidFill>
              <a:srgbClr val="934ACA"/>
            </a:solidFill>
            <a:ln>
              <a:noFill/>
            </a:ln>
            <a:effectLst/>
          </c:spPr>
          <c:invertIfNegative val="0"/>
          <c:cat>
            <c:strRef>
              <c:f>Pivot_table!$E$21:$E$29</c:f>
              <c:strCache>
                <c:ptCount val="8"/>
                <c:pt idx="0">
                  <c:v>Birmingham</c:v>
                </c:pt>
                <c:pt idx="1">
                  <c:v>Bristol</c:v>
                </c:pt>
                <c:pt idx="2">
                  <c:v>Edinburgh</c:v>
                </c:pt>
                <c:pt idx="3">
                  <c:v>Glasgow</c:v>
                </c:pt>
                <c:pt idx="4">
                  <c:v>Leeds</c:v>
                </c:pt>
                <c:pt idx="5">
                  <c:v>London</c:v>
                </c:pt>
                <c:pt idx="6">
                  <c:v>Manchester</c:v>
                </c:pt>
                <c:pt idx="7">
                  <c:v>Sheffield</c:v>
                </c:pt>
              </c:strCache>
            </c:strRef>
          </c:cat>
          <c:val>
            <c:numRef>
              <c:f>Pivot_table!$H$21:$H$29</c:f>
              <c:numCache>
                <c:formatCode>0</c:formatCode>
                <c:ptCount val="8"/>
                <c:pt idx="0">
                  <c:v>22.53846153846154</c:v>
                </c:pt>
                <c:pt idx="1">
                  <c:v>24.372549019607842</c:v>
                </c:pt>
                <c:pt idx="2">
                  <c:v>40.666666666666664</c:v>
                </c:pt>
                <c:pt idx="3">
                  <c:v>19.90625</c:v>
                </c:pt>
                <c:pt idx="4">
                  <c:v>18.45</c:v>
                </c:pt>
                <c:pt idx="5">
                  <c:v>16.333333333333332</c:v>
                </c:pt>
                <c:pt idx="6">
                  <c:v>21.148148148148149</c:v>
                </c:pt>
                <c:pt idx="7">
                  <c:v>17.428571428571427</c:v>
                </c:pt>
              </c:numCache>
            </c:numRef>
          </c:val>
          <c:extLst>
            <c:ext xmlns:c16="http://schemas.microsoft.com/office/drawing/2014/chart" uri="{C3380CC4-5D6E-409C-BE32-E72D297353CC}">
              <c16:uniqueId val="{00000001-B41B-4A18-9779-9C7B1DA7AE68}"/>
            </c:ext>
          </c:extLst>
        </c:ser>
        <c:dLbls>
          <c:showLegendKey val="0"/>
          <c:showVal val="0"/>
          <c:showCatName val="0"/>
          <c:showSerName val="0"/>
          <c:showPercent val="0"/>
          <c:showBubbleSize val="0"/>
        </c:dLbls>
        <c:gapWidth val="119"/>
        <c:overlap val="-27"/>
        <c:axId val="907131312"/>
        <c:axId val="1267056960"/>
      </c:barChart>
      <c:catAx>
        <c:axId val="90713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Book Antiqua" panose="02040602050305030304" pitchFamily="18" charset="0"/>
                <a:ea typeface="+mn-ea"/>
                <a:cs typeface="+mn-cs"/>
              </a:defRPr>
            </a:pPr>
            <a:endParaRPr lang="en-US"/>
          </a:p>
        </c:txPr>
        <c:crossAx val="1267056960"/>
        <c:crosses val="autoZero"/>
        <c:auto val="1"/>
        <c:lblAlgn val="ctr"/>
        <c:lblOffset val="100"/>
        <c:noMultiLvlLbl val="0"/>
      </c:catAx>
      <c:valAx>
        <c:axId val="1267056960"/>
        <c:scaling>
          <c:orientation val="minMax"/>
        </c:scaling>
        <c:delete val="1"/>
        <c:axPos val="l"/>
        <c:numFmt formatCode="0" sourceLinked="1"/>
        <c:majorTickMark val="none"/>
        <c:minorTickMark val="none"/>
        <c:tickLblPos val="nextTo"/>
        <c:crossAx val="907131312"/>
        <c:crosses val="autoZero"/>
        <c:crossBetween val="between"/>
      </c:valAx>
      <c:spPr>
        <a:noFill/>
        <a:ln>
          <a:noFill/>
        </a:ln>
        <a:effectLst/>
      </c:spPr>
    </c:plotArea>
    <c:legend>
      <c:legendPos val="r"/>
      <c:layout>
        <c:manualLayout>
          <c:xMode val="edge"/>
          <c:yMode val="edge"/>
          <c:x val="0.42185636615836425"/>
          <c:y val="0"/>
          <c:w val="0.5781436338416357"/>
          <c:h val="0.13988518182058057"/>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[Utility Billing Trend Analysis 1.xlsx]Pivot_table!PivotTable7</c:name>
    <c:fmtId val="1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ED49B"/>
          </a:solidFill>
          <a:ln w="19050">
            <a:solidFill>
              <a:schemeClr val="lt1"/>
            </a:solidFill>
          </a:ln>
          <a:effectLst/>
        </c:spPr>
        <c:dLbl>
          <c:idx val="0"/>
          <c:layout>
            <c:manualLayout>
              <c:x val="0.13305613305613306"/>
              <c:y val="8.965517241379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E8640"/>
          </a:solidFill>
          <a:ln w="19050">
            <a:solidFill>
              <a:schemeClr val="lt1"/>
            </a:solidFill>
          </a:ln>
          <a:effectLst/>
        </c:spPr>
        <c:dLbl>
          <c:idx val="0"/>
          <c:layout>
            <c:manualLayout>
              <c:x val="-0.12474012474012477"/>
              <c:y val="6.8965517241379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34ACA"/>
          </a:solidFill>
          <a:ln w="19050">
            <a:noFill/>
          </a:ln>
          <a:effectLst/>
        </c:spPr>
        <c:dLbl>
          <c:idx val="0"/>
          <c:layout>
            <c:manualLayout>
              <c:x val="-0.14553014553014554"/>
              <c:y val="-6.2068965517241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ED49B"/>
          </a:solidFill>
          <a:ln w="19050">
            <a:solidFill>
              <a:schemeClr val="lt1"/>
            </a:solidFill>
          </a:ln>
          <a:effectLst/>
        </c:spPr>
        <c:dLbl>
          <c:idx val="0"/>
          <c:layout>
            <c:manualLayout>
              <c:x val="0.13305613305613306"/>
              <c:y val="8.96551724137931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EE8640"/>
          </a:solidFill>
          <a:ln w="19050">
            <a:solidFill>
              <a:schemeClr val="lt1"/>
            </a:solidFill>
          </a:ln>
          <a:effectLst/>
        </c:spPr>
        <c:dLbl>
          <c:idx val="0"/>
          <c:layout>
            <c:manualLayout>
              <c:x val="-0.12474012474012477"/>
              <c:y val="6.89655172413791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34ACA"/>
          </a:solidFill>
          <a:ln w="19050">
            <a:noFill/>
          </a:ln>
          <a:effectLst/>
        </c:spPr>
        <c:dLbl>
          <c:idx val="0"/>
          <c:layout>
            <c:manualLayout>
              <c:x val="-0.14553014553014554"/>
              <c:y val="-6.20689655172414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ED49B"/>
          </a:solidFill>
          <a:ln w="19050">
            <a:solidFill>
              <a:schemeClr val="lt1"/>
            </a:solidFill>
          </a:ln>
          <a:effectLst/>
        </c:spPr>
        <c:dLbl>
          <c:idx val="0"/>
          <c:layout>
            <c:manualLayout>
              <c:x val="0.13305613305613306"/>
              <c:y val="8.965517241379310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EE8640"/>
          </a:solidFill>
          <a:ln w="19050">
            <a:solidFill>
              <a:schemeClr val="lt1"/>
            </a:solidFill>
          </a:ln>
          <a:effectLst/>
        </c:spPr>
        <c:dLbl>
          <c:idx val="0"/>
          <c:layout>
            <c:manualLayout>
              <c:x val="-0.12474012474012477"/>
              <c:y val="6.896551724137918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34ACA"/>
          </a:solidFill>
          <a:ln w="19050">
            <a:noFill/>
          </a:ln>
          <a:effectLst/>
        </c:spPr>
        <c:dLbl>
          <c:idx val="0"/>
          <c:layout>
            <c:manualLayout>
              <c:x val="-0.14553014553014554"/>
              <c:y val="-6.206896551724141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003683271399811"/>
          <c:y val="0.15861287301140714"/>
          <c:w val="0.60193625484964064"/>
          <c:h val="0.81846333011620831"/>
        </c:manualLayout>
      </c:layout>
      <c:doughnutChart>
        <c:varyColors val="1"/>
        <c:ser>
          <c:idx val="0"/>
          <c:order val="0"/>
          <c:tx>
            <c:strRef>
              <c:f>Pivot_table!$M$17</c:f>
              <c:strCache>
                <c:ptCount val="1"/>
                <c:pt idx="0">
                  <c:v>Total</c:v>
                </c:pt>
              </c:strCache>
            </c:strRef>
          </c:tx>
          <c:explosion val="2"/>
          <c:dPt>
            <c:idx val="0"/>
            <c:bubble3D val="0"/>
            <c:spPr>
              <a:solidFill>
                <a:srgbClr val="0ED49B"/>
              </a:solidFill>
              <a:ln w="19050">
                <a:solidFill>
                  <a:schemeClr val="lt1"/>
                </a:solidFill>
              </a:ln>
              <a:effectLst/>
            </c:spPr>
            <c:extLst>
              <c:ext xmlns:c16="http://schemas.microsoft.com/office/drawing/2014/chart" uri="{C3380CC4-5D6E-409C-BE32-E72D297353CC}">
                <c16:uniqueId val="{00000001-5D34-4224-9A9F-599BF0FFD316}"/>
              </c:ext>
            </c:extLst>
          </c:dPt>
          <c:dPt>
            <c:idx val="1"/>
            <c:bubble3D val="0"/>
            <c:spPr>
              <a:solidFill>
                <a:srgbClr val="EE8640"/>
              </a:solidFill>
              <a:ln w="19050">
                <a:solidFill>
                  <a:schemeClr val="lt1"/>
                </a:solidFill>
              </a:ln>
              <a:effectLst/>
            </c:spPr>
            <c:extLst>
              <c:ext xmlns:c16="http://schemas.microsoft.com/office/drawing/2014/chart" uri="{C3380CC4-5D6E-409C-BE32-E72D297353CC}">
                <c16:uniqueId val="{00000003-5D34-4224-9A9F-599BF0FFD316}"/>
              </c:ext>
            </c:extLst>
          </c:dPt>
          <c:dPt>
            <c:idx val="2"/>
            <c:bubble3D val="0"/>
            <c:spPr>
              <a:solidFill>
                <a:srgbClr val="934ACA"/>
              </a:solidFill>
              <a:ln w="19050">
                <a:noFill/>
              </a:ln>
              <a:effectLst/>
            </c:spPr>
            <c:extLst>
              <c:ext xmlns:c16="http://schemas.microsoft.com/office/drawing/2014/chart" uri="{C3380CC4-5D6E-409C-BE32-E72D297353CC}">
                <c16:uniqueId val="{00000005-5D34-4224-9A9F-599BF0FFD316}"/>
              </c:ext>
            </c:extLst>
          </c:dPt>
          <c:dLbls>
            <c:dLbl>
              <c:idx val="0"/>
              <c:layout>
                <c:manualLayout>
                  <c:x val="0.13305613305613306"/>
                  <c:y val="8.96551724137931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34-4224-9A9F-599BF0FFD316}"/>
                </c:ext>
              </c:extLst>
            </c:dLbl>
            <c:dLbl>
              <c:idx val="1"/>
              <c:layout>
                <c:manualLayout>
                  <c:x val="-0.12474012474012477"/>
                  <c:y val="6.89655172413791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34-4224-9A9F-599BF0FFD316}"/>
                </c:ext>
              </c:extLst>
            </c:dLbl>
            <c:dLbl>
              <c:idx val="2"/>
              <c:layout>
                <c:manualLayout>
                  <c:x val="-0.14553014553014554"/>
                  <c:y val="-6.20689655172414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34-4224-9A9F-599BF0FFD3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Pivot_table!$L$18:$L$21</c:f>
              <c:strCache>
                <c:ptCount val="3"/>
                <c:pt idx="0">
                  <c:v>Paid</c:v>
                </c:pt>
                <c:pt idx="1">
                  <c:v>Partial</c:v>
                </c:pt>
                <c:pt idx="2">
                  <c:v>Unpaid</c:v>
                </c:pt>
              </c:strCache>
            </c:strRef>
          </c:cat>
          <c:val>
            <c:numRef>
              <c:f>Pivot_table!$M$18:$M$21</c:f>
              <c:numCache>
                <c:formatCode>General</c:formatCode>
                <c:ptCount val="3"/>
                <c:pt idx="0">
                  <c:v>322</c:v>
                </c:pt>
                <c:pt idx="1">
                  <c:v>329</c:v>
                </c:pt>
                <c:pt idx="2">
                  <c:v>349</c:v>
                </c:pt>
              </c:numCache>
            </c:numRef>
          </c:val>
          <c:extLst>
            <c:ext xmlns:c16="http://schemas.microsoft.com/office/drawing/2014/chart" uri="{C3380CC4-5D6E-409C-BE32-E72D297353CC}">
              <c16:uniqueId val="{00000006-5D34-4224-9A9F-599BF0FFD316}"/>
            </c:ext>
          </c:extLst>
        </c:ser>
        <c:dLbls>
          <c:showLegendKey val="0"/>
          <c:showVal val="0"/>
          <c:showCatName val="0"/>
          <c:showSerName val="0"/>
          <c:showPercent val="0"/>
          <c:showBubbleSize val="0"/>
          <c:showLeaderLines val="1"/>
        </c:dLbls>
        <c:firstSliceAng val="21"/>
        <c:holeSize val="65"/>
      </c:doughnutChart>
      <c:spPr>
        <a:noFill/>
        <a:ln>
          <a:noFill/>
        </a:ln>
        <a:effectLst/>
      </c:spPr>
    </c:plotArea>
    <c:legend>
      <c:legendPos val="r"/>
      <c:layout>
        <c:manualLayout>
          <c:xMode val="edge"/>
          <c:yMode val="edge"/>
          <c:x val="0.35456709283480936"/>
          <c:y val="3.4627870037643928E-2"/>
          <c:w val="0.62048488221716558"/>
          <c:h val="0.10530238007899169"/>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[Utility Billing Trend Analysis 1.xlsx]Pivot_table!PivotTable6</c:name>
    <c:fmtId val="1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934ACA"/>
          </a:solidFill>
          <a:ln w="31750" cap="rnd">
            <a:noFill/>
            <a:miter lim="800000"/>
          </a:ln>
          <a:effectLst/>
          <a:scene3d>
            <a:camera prst="orthographicFront"/>
            <a:lightRig rig="threePt" dir="t"/>
          </a:scene3d>
          <a:sp3d>
            <a:bevelB w="19050"/>
          </a:sp3d>
        </c:spPr>
        <c:marker>
          <c:symbol val="none"/>
        </c:marker>
      </c:pivotFmt>
      <c:pivotFmt>
        <c:idx val="5"/>
        <c:spPr>
          <a:solidFill>
            <a:srgbClr val="0ED49B"/>
          </a:solidFill>
          <a:ln cap="rnd">
            <a:noFill/>
            <a:miter lim="800000"/>
          </a:ln>
          <a:effectLst>
            <a:outerShdw algn="ctr" rotWithShape="0">
              <a:srgbClr val="000000">
                <a:alpha val="43137"/>
              </a:srgbClr>
            </a:outerShdw>
            <a:softEdge rad="0"/>
          </a:effectLst>
          <a:scene3d>
            <a:camera prst="orthographicFront"/>
            <a:lightRig rig="threePt" dir="t"/>
          </a:scene3d>
        </c:spPr>
        <c:marker>
          <c:symbol val="none"/>
        </c:marker>
      </c:pivotFmt>
      <c:pivotFmt>
        <c:idx val="6"/>
        <c:spPr>
          <a:solidFill>
            <a:srgbClr val="934ACA"/>
          </a:solidFill>
          <a:ln w="31750" cap="rnd">
            <a:noFill/>
            <a:miter lim="800000"/>
          </a:ln>
          <a:effectLst/>
          <a:scene3d>
            <a:camera prst="orthographicFront"/>
            <a:lightRig rig="threePt" dir="t"/>
          </a:scene3d>
          <a:sp3d>
            <a:bevelB w="19050"/>
          </a:sp3d>
        </c:spPr>
        <c:marker>
          <c:symbol val="none"/>
        </c:marker>
      </c:pivotFmt>
      <c:pivotFmt>
        <c:idx val="7"/>
        <c:spPr>
          <a:solidFill>
            <a:srgbClr val="0ED49B"/>
          </a:solidFill>
          <a:ln cap="rnd">
            <a:noFill/>
            <a:miter lim="800000"/>
          </a:ln>
          <a:effectLst>
            <a:outerShdw algn="ctr" rotWithShape="0">
              <a:srgbClr val="000000">
                <a:alpha val="43137"/>
              </a:srgbClr>
            </a:outerShdw>
            <a:softEdge rad="0"/>
          </a:effectLst>
          <a:scene3d>
            <a:camera prst="orthographicFront"/>
            <a:lightRig rig="threePt" dir="t"/>
          </a:scene3d>
        </c:spPr>
        <c:marker>
          <c:symbol val="none"/>
        </c:marker>
      </c:pivotFmt>
      <c:pivotFmt>
        <c:idx val="8"/>
        <c:spPr>
          <a:solidFill>
            <a:srgbClr val="934ACA"/>
          </a:solidFill>
          <a:ln w="31750" cap="rnd">
            <a:noFill/>
            <a:miter lim="800000"/>
          </a:ln>
          <a:effectLst/>
          <a:scene3d>
            <a:camera prst="orthographicFront"/>
            <a:lightRig rig="threePt" dir="t"/>
          </a:scene3d>
          <a:sp3d>
            <a:bevelB w="19050"/>
          </a:sp3d>
        </c:spPr>
        <c:marker>
          <c:symbol val="none"/>
        </c:marker>
      </c:pivotFmt>
      <c:pivotFmt>
        <c:idx val="9"/>
        <c:spPr>
          <a:solidFill>
            <a:srgbClr val="0ED49B"/>
          </a:solidFill>
          <a:ln cap="rnd">
            <a:noFill/>
            <a:miter lim="800000"/>
          </a:ln>
          <a:effectLst>
            <a:outerShdw algn="ctr" rotWithShape="0">
              <a:srgbClr val="000000">
                <a:alpha val="43137"/>
              </a:srgbClr>
            </a:outerShdw>
            <a:softEdge rad="0"/>
          </a:effectLst>
          <a:scene3d>
            <a:camera prst="orthographicFront"/>
            <a:lightRig rig="threePt" dir="t"/>
          </a:scene3d>
        </c:spPr>
        <c:marker>
          <c:symbol val="none"/>
        </c:marker>
      </c:pivotFmt>
    </c:pivotFmts>
    <c:plotArea>
      <c:layout>
        <c:manualLayout>
          <c:layoutTarget val="inner"/>
          <c:xMode val="edge"/>
          <c:yMode val="edge"/>
          <c:x val="1.6043093090615152E-2"/>
          <c:y val="0.11338577053219888"/>
          <c:w val="0.96462128838542638"/>
          <c:h val="0.59381110109189605"/>
        </c:manualLayout>
      </c:layout>
      <c:barChart>
        <c:barDir val="col"/>
        <c:grouping val="clustered"/>
        <c:varyColors val="0"/>
        <c:ser>
          <c:idx val="0"/>
          <c:order val="0"/>
          <c:tx>
            <c:strRef>
              <c:f>Pivot_table!$L$3</c:f>
              <c:strCache>
                <c:ptCount val="1"/>
                <c:pt idx="0">
                  <c:v>Sum of amount_billed</c:v>
                </c:pt>
              </c:strCache>
            </c:strRef>
          </c:tx>
          <c:spPr>
            <a:solidFill>
              <a:srgbClr val="934ACA"/>
            </a:solidFill>
            <a:ln w="31750" cap="rnd">
              <a:noFill/>
              <a:miter lim="800000"/>
            </a:ln>
            <a:effectLst/>
            <a:scene3d>
              <a:camera prst="orthographicFront"/>
              <a:lightRig rig="threePt" dir="t"/>
            </a:scene3d>
            <a:sp3d>
              <a:bevelB w="19050"/>
            </a:sp3d>
          </c:spPr>
          <c:invertIfNegative val="0"/>
          <c:cat>
            <c:strRef>
              <c:f>Pivot_table!$K$4:$K$12</c:f>
              <c:strCache>
                <c:ptCount val="8"/>
                <c:pt idx="0">
                  <c:v>Sheffield</c:v>
                </c:pt>
                <c:pt idx="1">
                  <c:v>Birmingham</c:v>
                </c:pt>
                <c:pt idx="2">
                  <c:v>Bristol</c:v>
                </c:pt>
                <c:pt idx="3">
                  <c:v>Edinburgh</c:v>
                </c:pt>
                <c:pt idx="4">
                  <c:v>Glasgow</c:v>
                </c:pt>
                <c:pt idx="5">
                  <c:v>Leeds</c:v>
                </c:pt>
                <c:pt idx="6">
                  <c:v>London</c:v>
                </c:pt>
                <c:pt idx="7">
                  <c:v>Manchester</c:v>
                </c:pt>
              </c:strCache>
            </c:strRef>
          </c:cat>
          <c:val>
            <c:numRef>
              <c:f>Pivot_table!$L$4:$L$12</c:f>
              <c:numCache>
                <c:formatCode>General</c:formatCode>
                <c:ptCount val="8"/>
                <c:pt idx="0">
                  <c:v>1330676.6488999997</c:v>
                </c:pt>
                <c:pt idx="1">
                  <c:v>1198637.8992999997</c:v>
                </c:pt>
                <c:pt idx="2">
                  <c:v>1541625.3764000004</c:v>
                </c:pt>
                <c:pt idx="3">
                  <c:v>1291486.9086</c:v>
                </c:pt>
                <c:pt idx="4">
                  <c:v>1540127.3480999994</c:v>
                </c:pt>
                <c:pt idx="5">
                  <c:v>1708103.5521</c:v>
                </c:pt>
                <c:pt idx="6">
                  <c:v>1414670.9464000005</c:v>
                </c:pt>
                <c:pt idx="7">
                  <c:v>1486423.2055000004</c:v>
                </c:pt>
              </c:numCache>
            </c:numRef>
          </c:val>
          <c:extLst>
            <c:ext xmlns:c16="http://schemas.microsoft.com/office/drawing/2014/chart" uri="{C3380CC4-5D6E-409C-BE32-E72D297353CC}">
              <c16:uniqueId val="{00000000-7174-48DF-BE26-FC0A0DAC1C97}"/>
            </c:ext>
          </c:extLst>
        </c:ser>
        <c:ser>
          <c:idx val="1"/>
          <c:order val="1"/>
          <c:tx>
            <c:strRef>
              <c:f>Pivot_table!$M$3</c:f>
              <c:strCache>
                <c:ptCount val="1"/>
                <c:pt idx="0">
                  <c:v>Sum of amount_paid</c:v>
                </c:pt>
              </c:strCache>
            </c:strRef>
          </c:tx>
          <c:spPr>
            <a:solidFill>
              <a:srgbClr val="0ED49B"/>
            </a:solidFill>
            <a:ln cap="rnd">
              <a:noFill/>
              <a:miter lim="800000"/>
            </a:ln>
            <a:effectLst>
              <a:outerShdw algn="ctr" rotWithShape="0">
                <a:srgbClr val="000000">
                  <a:alpha val="43137"/>
                </a:srgbClr>
              </a:outerShdw>
              <a:softEdge rad="0"/>
            </a:effectLst>
            <a:scene3d>
              <a:camera prst="orthographicFront"/>
              <a:lightRig rig="threePt" dir="t"/>
            </a:scene3d>
          </c:spPr>
          <c:invertIfNegative val="0"/>
          <c:cat>
            <c:strRef>
              <c:f>Pivot_table!$K$4:$K$12</c:f>
              <c:strCache>
                <c:ptCount val="8"/>
                <c:pt idx="0">
                  <c:v>Sheffield</c:v>
                </c:pt>
                <c:pt idx="1">
                  <c:v>Birmingham</c:v>
                </c:pt>
                <c:pt idx="2">
                  <c:v>Bristol</c:v>
                </c:pt>
                <c:pt idx="3">
                  <c:v>Edinburgh</c:v>
                </c:pt>
                <c:pt idx="4">
                  <c:v>Glasgow</c:v>
                </c:pt>
                <c:pt idx="5">
                  <c:v>Leeds</c:v>
                </c:pt>
                <c:pt idx="6">
                  <c:v>London</c:v>
                </c:pt>
                <c:pt idx="7">
                  <c:v>Manchester</c:v>
                </c:pt>
              </c:strCache>
            </c:strRef>
          </c:cat>
          <c:val>
            <c:numRef>
              <c:f>Pivot_table!$M$4:$M$12</c:f>
              <c:numCache>
                <c:formatCode>General</c:formatCode>
                <c:ptCount val="8"/>
                <c:pt idx="0">
                  <c:v>1160122.6000000001</c:v>
                </c:pt>
                <c:pt idx="1">
                  <c:v>1165577.2599999998</c:v>
                </c:pt>
                <c:pt idx="2">
                  <c:v>1301670.1900000002</c:v>
                </c:pt>
                <c:pt idx="3">
                  <c:v>894940.4800000001</c:v>
                </c:pt>
                <c:pt idx="4">
                  <c:v>1210948.1699999997</c:v>
                </c:pt>
                <c:pt idx="5">
                  <c:v>1161373.6100000001</c:v>
                </c:pt>
                <c:pt idx="6">
                  <c:v>1019605.54</c:v>
                </c:pt>
                <c:pt idx="7">
                  <c:v>1164791.55</c:v>
                </c:pt>
              </c:numCache>
            </c:numRef>
          </c:val>
          <c:extLst>
            <c:ext xmlns:c16="http://schemas.microsoft.com/office/drawing/2014/chart" uri="{C3380CC4-5D6E-409C-BE32-E72D297353CC}">
              <c16:uniqueId val="{00000001-7174-48DF-BE26-FC0A0DAC1C97}"/>
            </c:ext>
          </c:extLst>
        </c:ser>
        <c:dLbls>
          <c:showLegendKey val="0"/>
          <c:showVal val="0"/>
          <c:showCatName val="0"/>
          <c:showSerName val="0"/>
          <c:showPercent val="0"/>
          <c:showBubbleSize val="0"/>
        </c:dLbls>
        <c:gapWidth val="119"/>
        <c:overlap val="-3"/>
        <c:axId val="907125712"/>
        <c:axId val="1197401840"/>
      </c:barChart>
      <c:catAx>
        <c:axId val="90712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crossAx val="1197401840"/>
        <c:crosses val="autoZero"/>
        <c:auto val="1"/>
        <c:lblAlgn val="ctr"/>
        <c:lblOffset val="100"/>
        <c:noMultiLvlLbl val="0"/>
      </c:catAx>
      <c:valAx>
        <c:axId val="1197401840"/>
        <c:scaling>
          <c:orientation val="minMax"/>
        </c:scaling>
        <c:delete val="1"/>
        <c:axPos val="l"/>
        <c:numFmt formatCode="General" sourceLinked="1"/>
        <c:majorTickMark val="none"/>
        <c:minorTickMark val="none"/>
        <c:tickLblPos val="nextTo"/>
        <c:crossAx val="907125712"/>
        <c:crosses val="autoZero"/>
        <c:crossBetween val="between"/>
      </c:valAx>
      <c:spPr>
        <a:noFill/>
        <a:ln cap="rnd">
          <a:noFill/>
        </a:ln>
        <a:effectLst/>
      </c:spPr>
    </c:plotArea>
    <c:legend>
      <c:legendPos val="r"/>
      <c:layout>
        <c:manualLayout>
          <c:xMode val="edge"/>
          <c:yMode val="edge"/>
          <c:x val="0.43267602552864043"/>
          <c:y val="2.2046737158292681E-2"/>
          <c:w val="0.54820046901094477"/>
          <c:h val="8.0316408795878827E-2"/>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[Utility Billing Trend Analysis 1.xlsx]Pivot_table!PivotTable2</c:name>
    <c:fmtId val="6"/>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rgbClr val="EE8640"/>
            </a:solidFill>
            <a:round/>
          </a:ln>
          <a:effectLst/>
        </c:spPr>
        <c:marker>
          <c:symbol val="circle"/>
          <c:size val="5"/>
          <c:spPr>
            <a:noFill/>
            <a:ln w="9525">
              <a:noFill/>
            </a:ln>
            <a:effectLst/>
          </c:spPr>
        </c:marker>
      </c:pivotFmt>
      <c:pivotFmt>
        <c:idx val="3"/>
        <c:spPr>
          <a:solidFill>
            <a:schemeClr val="accent1"/>
          </a:solidFill>
          <a:ln w="28575" cap="rnd">
            <a:solidFill>
              <a:srgbClr val="EE8640"/>
            </a:solidFill>
            <a:round/>
          </a:ln>
          <a:effectLst/>
        </c:spPr>
        <c:marker>
          <c:symbol val="circle"/>
          <c:size val="5"/>
          <c:spPr>
            <a:noFill/>
            <a:ln w="9525">
              <a:noFill/>
            </a:ln>
            <a:effectLst/>
          </c:spPr>
        </c:marker>
      </c:pivotFmt>
      <c:pivotFmt>
        <c:idx val="4"/>
        <c:spPr>
          <a:ln w="28575" cap="rnd">
            <a:solidFill>
              <a:srgbClr val="EE8640"/>
            </a:solidFill>
            <a:round/>
          </a:ln>
          <a:effectLst/>
        </c:spPr>
        <c:marker>
          <c:symbol val="circle"/>
          <c:size val="5"/>
          <c:spPr>
            <a:noFill/>
            <a:ln w="9525">
              <a:noFill/>
            </a:ln>
            <a:effectLst/>
          </c:spPr>
        </c:marker>
      </c:pivotFmt>
    </c:pivotFmts>
    <c:plotArea>
      <c:layout>
        <c:manualLayout>
          <c:layoutTarget val="inner"/>
          <c:xMode val="edge"/>
          <c:yMode val="edge"/>
          <c:x val="8.6262675688882177E-3"/>
          <c:y val="6.043956043956044E-2"/>
          <c:w val="0.98428719271777532"/>
          <c:h val="0.65792074067664619"/>
        </c:manualLayout>
      </c:layout>
      <c:lineChart>
        <c:grouping val="standard"/>
        <c:varyColors val="0"/>
        <c:ser>
          <c:idx val="0"/>
          <c:order val="0"/>
          <c:tx>
            <c:strRef>
              <c:f>Pivot_table!$B$3</c:f>
              <c:strCache>
                <c:ptCount val="1"/>
                <c:pt idx="0">
                  <c:v>Total</c:v>
                </c:pt>
              </c:strCache>
            </c:strRef>
          </c:tx>
          <c:spPr>
            <a:ln w="28575" cap="rnd">
              <a:solidFill>
                <a:srgbClr val="EE8640"/>
              </a:solidFill>
              <a:round/>
            </a:ln>
            <a:effectLst/>
          </c:spPr>
          <c:marker>
            <c:symbol val="circle"/>
            <c:size val="5"/>
            <c:spPr>
              <a:noFill/>
              <a:ln w="9525">
                <a:noFill/>
              </a:ln>
              <a:effectLst/>
            </c:spPr>
          </c:marker>
          <c:cat>
            <c:multiLvlStrRef>
              <c:f>Pivot_table!$A$4:$A$43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2022</c:v>
                  </c:pt>
                  <c:pt idx="12">
                    <c:v>2023</c:v>
                  </c:pt>
                  <c:pt idx="24">
                    <c:v>2024</c:v>
                  </c:pt>
                </c:lvl>
              </c:multiLvlStrCache>
            </c:multiLvlStrRef>
          </c:cat>
          <c:val>
            <c:numRef>
              <c:f>Pivot_table!$B$4:$B$43</c:f>
              <c:numCache>
                <c:formatCode>General</c:formatCode>
                <c:ptCount val="36"/>
                <c:pt idx="0">
                  <c:v>228645.81289999993</c:v>
                </c:pt>
                <c:pt idx="1">
                  <c:v>312894.91539999994</c:v>
                </c:pt>
                <c:pt idx="2">
                  <c:v>334867.36509999994</c:v>
                </c:pt>
                <c:pt idx="3">
                  <c:v>310435.13669999992</c:v>
                </c:pt>
                <c:pt idx="4">
                  <c:v>267574.8235</c:v>
                </c:pt>
                <c:pt idx="5">
                  <c:v>212400.4325</c:v>
                </c:pt>
                <c:pt idx="6">
                  <c:v>243330.48609999998</c:v>
                </c:pt>
                <c:pt idx="7">
                  <c:v>419283.35770000011</c:v>
                </c:pt>
                <c:pt idx="8">
                  <c:v>182240.87499999997</c:v>
                </c:pt>
                <c:pt idx="9">
                  <c:v>313753.79929999996</c:v>
                </c:pt>
                <c:pt idx="10">
                  <c:v>339692.70449999999</c:v>
                </c:pt>
                <c:pt idx="11">
                  <c:v>294997.57789999992</c:v>
                </c:pt>
                <c:pt idx="12">
                  <c:v>195736.22450000001</c:v>
                </c:pt>
                <c:pt idx="13">
                  <c:v>256084.76179999998</c:v>
                </c:pt>
                <c:pt idx="14">
                  <c:v>245220.52160000004</c:v>
                </c:pt>
                <c:pt idx="15">
                  <c:v>390798.32859999995</c:v>
                </c:pt>
                <c:pt idx="16">
                  <c:v>212980.05820000003</c:v>
                </c:pt>
                <c:pt idx="17">
                  <c:v>281476.83159999998</c:v>
                </c:pt>
                <c:pt idx="18">
                  <c:v>349119.36580000003</c:v>
                </c:pt>
                <c:pt idx="19">
                  <c:v>392097.18729999999</c:v>
                </c:pt>
                <c:pt idx="20">
                  <c:v>273080.54180000001</c:v>
                </c:pt>
                <c:pt idx="21">
                  <c:v>409655.62229999993</c:v>
                </c:pt>
                <c:pt idx="22">
                  <c:v>297249.88150000002</c:v>
                </c:pt>
                <c:pt idx="23">
                  <c:v>319158.46540000004</c:v>
                </c:pt>
                <c:pt idx="24">
                  <c:v>348752.88239999989</c:v>
                </c:pt>
                <c:pt idx="25">
                  <c:v>349737.6666</c:v>
                </c:pt>
                <c:pt idx="26">
                  <c:v>452574.03500000009</c:v>
                </c:pt>
                <c:pt idx="27">
                  <c:v>344623.21549999999</c:v>
                </c:pt>
                <c:pt idx="28">
                  <c:v>350925.83849999995</c:v>
                </c:pt>
                <c:pt idx="29">
                  <c:v>308970.07329999999</c:v>
                </c:pt>
                <c:pt idx="30">
                  <c:v>469519.79119999998</c:v>
                </c:pt>
                <c:pt idx="31">
                  <c:v>256131.82179999998</c:v>
                </c:pt>
                <c:pt idx="32">
                  <c:v>391813.19799999997</c:v>
                </c:pt>
                <c:pt idx="33">
                  <c:v>374065.83710000006</c:v>
                </c:pt>
                <c:pt idx="34">
                  <c:v>416073.84990000015</c:v>
                </c:pt>
                <c:pt idx="35">
                  <c:v>365788.59899999999</c:v>
                </c:pt>
              </c:numCache>
            </c:numRef>
          </c:val>
          <c:smooth val="1"/>
          <c:extLst>
            <c:ext xmlns:c16="http://schemas.microsoft.com/office/drawing/2014/chart" uri="{C3380CC4-5D6E-409C-BE32-E72D297353CC}">
              <c16:uniqueId val="{00000000-A93C-489F-9713-4ADC2D13BC27}"/>
            </c:ext>
          </c:extLst>
        </c:ser>
        <c:dLbls>
          <c:showLegendKey val="0"/>
          <c:showVal val="0"/>
          <c:showCatName val="0"/>
          <c:showSerName val="0"/>
          <c:showPercent val="0"/>
          <c:showBubbleSize val="0"/>
        </c:dLbls>
        <c:marker val="1"/>
        <c:smooth val="0"/>
        <c:axId val="897240448"/>
        <c:axId val="2085691520"/>
      </c:lineChart>
      <c:catAx>
        <c:axId val="89724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crossAx val="2085691520"/>
        <c:crosses val="autoZero"/>
        <c:auto val="1"/>
        <c:lblAlgn val="ctr"/>
        <c:lblOffset val="100"/>
        <c:tickLblSkip val="1"/>
        <c:noMultiLvlLbl val="0"/>
      </c:catAx>
      <c:valAx>
        <c:axId val="2085691520"/>
        <c:scaling>
          <c:orientation val="minMax"/>
        </c:scaling>
        <c:delete val="1"/>
        <c:axPos val="l"/>
        <c:numFmt formatCode="General" sourceLinked="1"/>
        <c:majorTickMark val="none"/>
        <c:minorTickMark val="none"/>
        <c:tickLblPos val="nextTo"/>
        <c:crossAx val="89724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[Utility Billing Trend Analysis 1.xlsx]Pivot_table!PivotTable3</c:name>
    <c:fmtId val="9"/>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934ACA"/>
          </a:solidFill>
          <a:ln>
            <a:noFill/>
          </a:ln>
          <a:effectLst/>
        </c:spPr>
        <c:marker>
          <c:symbol val="none"/>
        </c:marker>
      </c:pivotFmt>
      <c:pivotFmt>
        <c:idx val="3"/>
        <c:spPr>
          <a:solidFill>
            <a:srgbClr val="0ED49B"/>
          </a:solidFill>
          <a:ln>
            <a:noFill/>
          </a:ln>
          <a:effectLst/>
        </c:spPr>
      </c:pivotFmt>
      <c:pivotFmt>
        <c:idx val="4"/>
        <c:spPr>
          <a:solidFill>
            <a:srgbClr val="934ACA"/>
          </a:solidFill>
          <a:ln>
            <a:noFill/>
          </a:ln>
          <a:effectLst/>
        </c:spPr>
        <c:marker>
          <c:symbol val="none"/>
        </c:marker>
      </c:pivotFmt>
      <c:pivotFmt>
        <c:idx val="5"/>
        <c:spPr>
          <a:solidFill>
            <a:srgbClr val="0ED49B"/>
          </a:solidFill>
          <a:ln>
            <a:noFill/>
          </a:ln>
          <a:effectLst/>
        </c:spPr>
      </c:pivotFmt>
      <c:pivotFmt>
        <c:idx val="6"/>
        <c:spPr>
          <a:solidFill>
            <a:srgbClr val="934ACA"/>
          </a:solidFill>
          <a:ln>
            <a:noFill/>
          </a:ln>
          <a:effectLst/>
        </c:spPr>
        <c:marker>
          <c:symbol val="none"/>
        </c:marker>
      </c:pivotFmt>
      <c:pivotFmt>
        <c:idx val="7"/>
        <c:spPr>
          <a:solidFill>
            <a:srgbClr val="0ED49B"/>
          </a:solidFill>
          <a:ln>
            <a:noFill/>
          </a:ln>
          <a:effectLst/>
        </c:spPr>
      </c:pivotFmt>
      <c:pivotFmt>
        <c:idx val="8"/>
        <c:spPr>
          <a:solidFill>
            <a:srgbClr val="EE8640"/>
          </a:solidFill>
          <a:ln>
            <a:noFill/>
          </a:ln>
          <a:effectLst/>
        </c:spPr>
      </c:pivotFmt>
    </c:pivotFmts>
    <c:plotArea>
      <c:layout/>
      <c:barChart>
        <c:barDir val="bar"/>
        <c:grouping val="clustered"/>
        <c:varyColors val="0"/>
        <c:ser>
          <c:idx val="0"/>
          <c:order val="0"/>
          <c:tx>
            <c:strRef>
              <c:f>Pivot_table!$F$3</c:f>
              <c:strCache>
                <c:ptCount val="1"/>
                <c:pt idx="0">
                  <c:v>Total</c:v>
                </c:pt>
              </c:strCache>
            </c:strRef>
          </c:tx>
          <c:spPr>
            <a:solidFill>
              <a:srgbClr val="934ACA"/>
            </a:solidFill>
            <a:ln>
              <a:noFill/>
            </a:ln>
            <a:effectLst/>
          </c:spPr>
          <c:invertIfNegative val="0"/>
          <c:dPt>
            <c:idx val="0"/>
            <c:invertIfNegative val="0"/>
            <c:bubble3D val="0"/>
            <c:spPr>
              <a:solidFill>
                <a:srgbClr val="EE8640"/>
              </a:solidFill>
              <a:ln>
                <a:noFill/>
              </a:ln>
              <a:effectLst/>
            </c:spPr>
            <c:extLst>
              <c:ext xmlns:c16="http://schemas.microsoft.com/office/drawing/2014/chart" uri="{C3380CC4-5D6E-409C-BE32-E72D297353CC}">
                <c16:uniqueId val="{00000002-DFE7-4B20-8D13-6F73931B6ADC}"/>
              </c:ext>
            </c:extLst>
          </c:dPt>
          <c:dPt>
            <c:idx val="7"/>
            <c:invertIfNegative val="0"/>
            <c:bubble3D val="0"/>
            <c:spPr>
              <a:solidFill>
                <a:srgbClr val="0ED49B"/>
              </a:solidFill>
              <a:ln>
                <a:noFill/>
              </a:ln>
              <a:effectLst/>
            </c:spPr>
            <c:extLst>
              <c:ext xmlns:c16="http://schemas.microsoft.com/office/drawing/2014/chart" uri="{C3380CC4-5D6E-409C-BE32-E72D297353CC}">
                <c16:uniqueId val="{00000001-8C0C-40F8-9600-07E18D06815E}"/>
              </c:ext>
            </c:extLst>
          </c:dPt>
          <c:cat>
            <c:strRef>
              <c:f>Pivot_table!$E$4:$E$12</c:f>
              <c:strCache>
                <c:ptCount val="8"/>
                <c:pt idx="0">
                  <c:v>Leeds</c:v>
                </c:pt>
                <c:pt idx="1">
                  <c:v>Bristol</c:v>
                </c:pt>
                <c:pt idx="2">
                  <c:v>Manchester</c:v>
                </c:pt>
                <c:pt idx="3">
                  <c:v>Glasgow</c:v>
                </c:pt>
                <c:pt idx="4">
                  <c:v>London</c:v>
                </c:pt>
                <c:pt idx="5">
                  <c:v>Sheffield</c:v>
                </c:pt>
                <c:pt idx="6">
                  <c:v>Edinburgh</c:v>
                </c:pt>
                <c:pt idx="7">
                  <c:v>Birmingham</c:v>
                </c:pt>
              </c:strCache>
            </c:strRef>
          </c:cat>
          <c:val>
            <c:numRef>
              <c:f>Pivot_table!$F$4:$F$12</c:f>
              <c:numCache>
                <c:formatCode>General</c:formatCode>
                <c:ptCount val="8"/>
                <c:pt idx="0">
                  <c:v>33642.15</c:v>
                </c:pt>
                <c:pt idx="1">
                  <c:v>33340.660000000003</c:v>
                </c:pt>
                <c:pt idx="2">
                  <c:v>32636.5</c:v>
                </c:pt>
                <c:pt idx="3">
                  <c:v>31714.55</c:v>
                </c:pt>
                <c:pt idx="4">
                  <c:v>30653.26</c:v>
                </c:pt>
                <c:pt idx="5">
                  <c:v>30187.54</c:v>
                </c:pt>
                <c:pt idx="6">
                  <c:v>26999.83</c:v>
                </c:pt>
                <c:pt idx="7">
                  <c:v>24627.81</c:v>
                </c:pt>
              </c:numCache>
            </c:numRef>
          </c:val>
          <c:extLst>
            <c:ext xmlns:c16="http://schemas.microsoft.com/office/drawing/2014/chart" uri="{C3380CC4-5D6E-409C-BE32-E72D297353CC}">
              <c16:uniqueId val="{00000002-8C0C-40F8-9600-07E18D06815E}"/>
            </c:ext>
          </c:extLst>
        </c:ser>
        <c:dLbls>
          <c:showLegendKey val="0"/>
          <c:showVal val="0"/>
          <c:showCatName val="0"/>
          <c:showSerName val="0"/>
          <c:showPercent val="0"/>
          <c:showBubbleSize val="0"/>
        </c:dLbls>
        <c:gapWidth val="48"/>
        <c:overlap val="-27"/>
        <c:axId val="2080224448"/>
        <c:axId val="1207400144"/>
      </c:barChart>
      <c:catAx>
        <c:axId val="2080224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Book Antiqua" panose="02040602050305030304" pitchFamily="18" charset="0"/>
                <a:ea typeface="+mn-ea"/>
                <a:cs typeface="+mn-cs"/>
              </a:defRPr>
            </a:pPr>
            <a:endParaRPr lang="en-US"/>
          </a:p>
        </c:txPr>
        <c:crossAx val="1207400144"/>
        <c:crosses val="autoZero"/>
        <c:auto val="1"/>
        <c:lblAlgn val="ctr"/>
        <c:lblOffset val="100"/>
        <c:noMultiLvlLbl val="0"/>
      </c:catAx>
      <c:valAx>
        <c:axId val="1207400144"/>
        <c:scaling>
          <c:orientation val="minMax"/>
        </c:scaling>
        <c:delete val="1"/>
        <c:axPos val="t"/>
        <c:numFmt formatCode="General" sourceLinked="1"/>
        <c:majorTickMark val="none"/>
        <c:minorTickMark val="none"/>
        <c:tickLblPos val="nextTo"/>
        <c:crossAx val="208022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6349</xdr:colOff>
      <xdr:row>0</xdr:row>
      <xdr:rowOff>0</xdr:rowOff>
    </xdr:from>
    <xdr:to>
      <xdr:col>24</xdr:col>
      <xdr:colOff>603250</xdr:colOff>
      <xdr:row>3</xdr:row>
      <xdr:rowOff>127000</xdr:rowOff>
    </xdr:to>
    <xdr:sp macro="" textlink="">
      <xdr:nvSpPr>
        <xdr:cNvPr id="4" name="Rectangle 3">
          <a:extLst>
            <a:ext uri="{FF2B5EF4-FFF2-40B4-BE49-F238E27FC236}">
              <a16:creationId xmlns:a16="http://schemas.microsoft.com/office/drawing/2014/main" id="{7C632A3D-FED7-4706-83AA-5AE40AFA3A5F}"/>
            </a:ext>
          </a:extLst>
        </xdr:cNvPr>
        <xdr:cNvSpPr/>
      </xdr:nvSpPr>
      <xdr:spPr>
        <a:xfrm>
          <a:off x="6349" y="0"/>
          <a:ext cx="15227301" cy="685800"/>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88900</xdr:rowOff>
    </xdr:from>
    <xdr:to>
      <xdr:col>2</xdr:col>
      <xdr:colOff>465666</xdr:colOff>
      <xdr:row>34</xdr:row>
      <xdr:rowOff>111125</xdr:rowOff>
    </xdr:to>
    <xdr:sp macro="" textlink="">
      <xdr:nvSpPr>
        <xdr:cNvPr id="5" name="Rectangle 4">
          <a:extLst>
            <a:ext uri="{FF2B5EF4-FFF2-40B4-BE49-F238E27FC236}">
              <a16:creationId xmlns:a16="http://schemas.microsoft.com/office/drawing/2014/main" id="{9EC04146-263C-4F29-9431-76859BC9DC89}"/>
            </a:ext>
          </a:extLst>
        </xdr:cNvPr>
        <xdr:cNvSpPr/>
      </xdr:nvSpPr>
      <xdr:spPr>
        <a:xfrm>
          <a:off x="0" y="647700"/>
          <a:ext cx="1684866" cy="5796492"/>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508620</xdr:colOff>
      <xdr:row>3</xdr:row>
      <xdr:rowOff>155918</xdr:rowOff>
    </xdr:from>
    <xdr:to>
      <xdr:col>6</xdr:col>
      <xdr:colOff>264780</xdr:colOff>
      <xdr:row>7</xdr:row>
      <xdr:rowOff>162268</xdr:rowOff>
    </xdr:to>
    <xdr:sp macro="" textlink="">
      <xdr:nvSpPr>
        <xdr:cNvPr id="6" name="Rectangle 5">
          <a:extLst>
            <a:ext uri="{FF2B5EF4-FFF2-40B4-BE49-F238E27FC236}">
              <a16:creationId xmlns:a16="http://schemas.microsoft.com/office/drawing/2014/main" id="{ADF51060-BAA0-45B1-AE63-E56F5562C652}"/>
            </a:ext>
          </a:extLst>
        </xdr:cNvPr>
        <xdr:cNvSpPr/>
      </xdr:nvSpPr>
      <xdr:spPr>
        <a:xfrm>
          <a:off x="1727820" y="714718"/>
          <a:ext cx="2194560" cy="7514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322337</xdr:colOff>
      <xdr:row>3</xdr:row>
      <xdr:rowOff>164385</xdr:rowOff>
    </xdr:from>
    <xdr:to>
      <xdr:col>10</xdr:col>
      <xdr:colOff>78497</xdr:colOff>
      <xdr:row>7</xdr:row>
      <xdr:rowOff>170735</xdr:rowOff>
    </xdr:to>
    <xdr:sp macro="" textlink="">
      <xdr:nvSpPr>
        <xdr:cNvPr id="7" name="Rectangle 6">
          <a:extLst>
            <a:ext uri="{FF2B5EF4-FFF2-40B4-BE49-F238E27FC236}">
              <a16:creationId xmlns:a16="http://schemas.microsoft.com/office/drawing/2014/main" id="{06169820-111F-4032-9580-A3D4A73513E5}"/>
            </a:ext>
          </a:extLst>
        </xdr:cNvPr>
        <xdr:cNvSpPr/>
      </xdr:nvSpPr>
      <xdr:spPr>
        <a:xfrm>
          <a:off x="3979937" y="723185"/>
          <a:ext cx="2194560" cy="7514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144520</xdr:colOff>
      <xdr:row>3</xdr:row>
      <xdr:rowOff>155918</xdr:rowOff>
    </xdr:from>
    <xdr:to>
      <xdr:col>13</xdr:col>
      <xdr:colOff>510280</xdr:colOff>
      <xdr:row>7</xdr:row>
      <xdr:rowOff>162268</xdr:rowOff>
    </xdr:to>
    <xdr:sp macro="" textlink="">
      <xdr:nvSpPr>
        <xdr:cNvPr id="8" name="Rectangle 7">
          <a:extLst>
            <a:ext uri="{FF2B5EF4-FFF2-40B4-BE49-F238E27FC236}">
              <a16:creationId xmlns:a16="http://schemas.microsoft.com/office/drawing/2014/main" id="{BFD3234C-F982-444E-BF1C-B7B7AC88E462}"/>
            </a:ext>
          </a:extLst>
        </xdr:cNvPr>
        <xdr:cNvSpPr/>
      </xdr:nvSpPr>
      <xdr:spPr>
        <a:xfrm>
          <a:off x="6240520" y="714718"/>
          <a:ext cx="2194560" cy="7514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559371</xdr:colOff>
      <xdr:row>3</xdr:row>
      <xdr:rowOff>172851</xdr:rowOff>
    </xdr:from>
    <xdr:to>
      <xdr:col>17</xdr:col>
      <xdr:colOff>315531</xdr:colOff>
      <xdr:row>7</xdr:row>
      <xdr:rowOff>179201</xdr:rowOff>
    </xdr:to>
    <xdr:sp macro="" textlink="">
      <xdr:nvSpPr>
        <xdr:cNvPr id="9" name="Rectangle 8">
          <a:extLst>
            <a:ext uri="{FF2B5EF4-FFF2-40B4-BE49-F238E27FC236}">
              <a16:creationId xmlns:a16="http://schemas.microsoft.com/office/drawing/2014/main" id="{08C80118-D12A-453E-BC76-86CF541B9B96}"/>
            </a:ext>
          </a:extLst>
        </xdr:cNvPr>
        <xdr:cNvSpPr/>
      </xdr:nvSpPr>
      <xdr:spPr>
        <a:xfrm>
          <a:off x="8484171" y="731651"/>
          <a:ext cx="2194560" cy="7514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373088</xdr:colOff>
      <xdr:row>4</xdr:row>
      <xdr:rowOff>3518</xdr:rowOff>
    </xdr:from>
    <xdr:to>
      <xdr:col>21</xdr:col>
      <xdr:colOff>129248</xdr:colOff>
      <xdr:row>8</xdr:row>
      <xdr:rowOff>9869</xdr:rowOff>
    </xdr:to>
    <xdr:sp macro="" textlink="">
      <xdr:nvSpPr>
        <xdr:cNvPr id="10" name="Rectangle 9">
          <a:extLst>
            <a:ext uri="{FF2B5EF4-FFF2-40B4-BE49-F238E27FC236}">
              <a16:creationId xmlns:a16="http://schemas.microsoft.com/office/drawing/2014/main" id="{92B3C500-BA8E-43A1-A1AD-311D4B1D2B4A}"/>
            </a:ext>
          </a:extLst>
        </xdr:cNvPr>
        <xdr:cNvSpPr/>
      </xdr:nvSpPr>
      <xdr:spPr>
        <a:xfrm>
          <a:off x="10736288" y="748585"/>
          <a:ext cx="2194560" cy="7514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195268</xdr:colOff>
      <xdr:row>3</xdr:row>
      <xdr:rowOff>183858</xdr:rowOff>
    </xdr:from>
    <xdr:to>
      <xdr:col>24</xdr:col>
      <xdr:colOff>561028</xdr:colOff>
      <xdr:row>7</xdr:row>
      <xdr:rowOff>185128</xdr:rowOff>
    </xdr:to>
    <xdr:sp macro="" textlink="">
      <xdr:nvSpPr>
        <xdr:cNvPr id="11" name="Rectangle 10">
          <a:extLst>
            <a:ext uri="{FF2B5EF4-FFF2-40B4-BE49-F238E27FC236}">
              <a16:creationId xmlns:a16="http://schemas.microsoft.com/office/drawing/2014/main" id="{975DBC4F-8782-4A4E-9A26-353F9C8ED581}"/>
            </a:ext>
          </a:extLst>
        </xdr:cNvPr>
        <xdr:cNvSpPr/>
      </xdr:nvSpPr>
      <xdr:spPr>
        <a:xfrm>
          <a:off x="12996868" y="742658"/>
          <a:ext cx="2194560" cy="74633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516467</xdr:colOff>
      <xdr:row>8</xdr:row>
      <xdr:rowOff>39689</xdr:rowOff>
    </xdr:from>
    <xdr:to>
      <xdr:col>17</xdr:col>
      <xdr:colOff>592667</xdr:colOff>
      <xdr:row>21</xdr:row>
      <xdr:rowOff>166688</xdr:rowOff>
    </xdr:to>
    <xdr:sp macro="" textlink="">
      <xdr:nvSpPr>
        <xdr:cNvPr id="12" name="Rectangle 11">
          <a:extLst>
            <a:ext uri="{FF2B5EF4-FFF2-40B4-BE49-F238E27FC236}">
              <a16:creationId xmlns:a16="http://schemas.microsoft.com/office/drawing/2014/main" id="{8AA547AB-6F62-4734-8E86-63FE3C6193E1}"/>
            </a:ext>
          </a:extLst>
        </xdr:cNvPr>
        <xdr:cNvSpPr/>
      </xdr:nvSpPr>
      <xdr:spPr>
        <a:xfrm>
          <a:off x="1735667" y="1529822"/>
          <a:ext cx="9220200" cy="254846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8467</xdr:colOff>
      <xdr:row>8</xdr:row>
      <xdr:rowOff>39159</xdr:rowOff>
    </xdr:from>
    <xdr:to>
      <xdr:col>24</xdr:col>
      <xdr:colOff>557211</xdr:colOff>
      <xdr:row>21</xdr:row>
      <xdr:rowOff>158219</xdr:rowOff>
    </xdr:to>
    <xdr:sp macro="" textlink="">
      <xdr:nvSpPr>
        <xdr:cNvPr id="13" name="Rectangle 12">
          <a:extLst>
            <a:ext uri="{FF2B5EF4-FFF2-40B4-BE49-F238E27FC236}">
              <a16:creationId xmlns:a16="http://schemas.microsoft.com/office/drawing/2014/main" id="{DCCACCF8-BACE-41B5-85B1-420A86C438FA}"/>
            </a:ext>
          </a:extLst>
        </xdr:cNvPr>
        <xdr:cNvSpPr/>
      </xdr:nvSpPr>
      <xdr:spPr>
        <a:xfrm>
          <a:off x="10981267" y="1529292"/>
          <a:ext cx="4206344" cy="254052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508000</xdr:colOff>
      <xdr:row>22</xdr:row>
      <xdr:rowOff>15875</xdr:rowOff>
    </xdr:from>
    <xdr:to>
      <xdr:col>12</xdr:col>
      <xdr:colOff>558799</xdr:colOff>
      <xdr:row>34</xdr:row>
      <xdr:rowOff>116892</xdr:rowOff>
    </xdr:to>
    <xdr:sp macro="" textlink="">
      <xdr:nvSpPr>
        <xdr:cNvPr id="14" name="Rectangle 13">
          <a:extLst>
            <a:ext uri="{FF2B5EF4-FFF2-40B4-BE49-F238E27FC236}">
              <a16:creationId xmlns:a16="http://schemas.microsoft.com/office/drawing/2014/main" id="{61E92B91-DAC3-4859-BCA9-5C57DD9ED1F8}"/>
            </a:ext>
          </a:extLst>
        </xdr:cNvPr>
        <xdr:cNvSpPr/>
      </xdr:nvSpPr>
      <xdr:spPr>
        <a:xfrm>
          <a:off x="1727200" y="4113742"/>
          <a:ext cx="6146799" cy="2336217"/>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592667</xdr:colOff>
      <xdr:row>22</xdr:row>
      <xdr:rowOff>23813</xdr:rowOff>
    </xdr:from>
    <xdr:to>
      <xdr:col>24</xdr:col>
      <xdr:colOff>549293</xdr:colOff>
      <xdr:row>34</xdr:row>
      <xdr:rowOff>139246</xdr:rowOff>
    </xdr:to>
    <xdr:sp macro="" textlink="">
      <xdr:nvSpPr>
        <xdr:cNvPr id="15" name="Rectangle 14">
          <a:extLst>
            <a:ext uri="{FF2B5EF4-FFF2-40B4-BE49-F238E27FC236}">
              <a16:creationId xmlns:a16="http://schemas.microsoft.com/office/drawing/2014/main" id="{C43A26F9-21E2-4E58-BEEC-C5DC0093490F}"/>
            </a:ext>
          </a:extLst>
        </xdr:cNvPr>
        <xdr:cNvSpPr/>
      </xdr:nvSpPr>
      <xdr:spPr>
        <a:xfrm>
          <a:off x="7907867" y="4121680"/>
          <a:ext cx="7271826" cy="2350633"/>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263102</xdr:colOff>
      <xdr:row>5</xdr:row>
      <xdr:rowOff>124352</xdr:rowOff>
    </xdr:from>
    <xdr:to>
      <xdr:col>8</xdr:col>
      <xdr:colOff>304800</xdr:colOff>
      <xdr:row>7</xdr:row>
      <xdr:rowOff>148164</xdr:rowOff>
    </xdr:to>
    <xdr:sp macro="" textlink="Total_amount_paid">
      <xdr:nvSpPr>
        <xdr:cNvPr id="17" name="TextBox 16">
          <a:extLst>
            <a:ext uri="{FF2B5EF4-FFF2-40B4-BE49-F238E27FC236}">
              <a16:creationId xmlns:a16="http://schemas.microsoft.com/office/drawing/2014/main" id="{CA69B105-74D7-466F-B7CD-B83F17250816}"/>
            </a:ext>
          </a:extLst>
        </xdr:cNvPr>
        <xdr:cNvSpPr txBox="1"/>
      </xdr:nvSpPr>
      <xdr:spPr>
        <a:xfrm>
          <a:off x="3920702" y="1055685"/>
          <a:ext cx="1260898"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088BC6-45C0-4CD7-B7B2-2F356C2C064B}" type="TxLink">
            <a:rPr lang="en-US" sz="1200" b="1" i="0" u="none" strike="noStrike">
              <a:solidFill>
                <a:sysClr val="windowText" lastClr="000000"/>
              </a:solidFill>
              <a:latin typeface="Book Antiqua" panose="02040602050305030304" pitchFamily="18" charset="0"/>
              <a:cs typeface="Calibri"/>
            </a:rPr>
            <a:pPr/>
            <a:t> € 9,079,029.40 </a:t>
          </a:fld>
          <a:endParaRPr lang="en-US" sz="1200" b="1">
            <a:solidFill>
              <a:sysClr val="windowText" lastClr="000000"/>
            </a:solidFill>
            <a:latin typeface="Book Antiqua" panose="02040602050305030304" pitchFamily="18" charset="0"/>
          </a:endParaRPr>
        </a:p>
      </xdr:txBody>
    </xdr:sp>
    <xdr:clientData/>
  </xdr:twoCellAnchor>
  <xdr:twoCellAnchor>
    <xdr:from>
      <xdr:col>2</xdr:col>
      <xdr:colOff>440795</xdr:colOff>
      <xdr:row>5</xdr:row>
      <xdr:rowOff>131762</xdr:rowOff>
    </xdr:from>
    <xdr:to>
      <xdr:col>4</xdr:col>
      <xdr:colOff>550334</xdr:colOff>
      <xdr:row>7</xdr:row>
      <xdr:rowOff>155574</xdr:rowOff>
    </xdr:to>
    <xdr:sp macro="" textlink="Total_amount_billed">
      <xdr:nvSpPr>
        <xdr:cNvPr id="18" name="TextBox 17">
          <a:extLst>
            <a:ext uri="{FF2B5EF4-FFF2-40B4-BE49-F238E27FC236}">
              <a16:creationId xmlns:a16="http://schemas.microsoft.com/office/drawing/2014/main" id="{4B989464-ABFE-4F57-9967-4B83ED1327E2}"/>
            </a:ext>
          </a:extLst>
        </xdr:cNvPr>
        <xdr:cNvSpPr txBox="1"/>
      </xdr:nvSpPr>
      <xdr:spPr>
        <a:xfrm>
          <a:off x="1659995" y="1063095"/>
          <a:ext cx="1328739"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203C7B-2DD2-4BCD-873C-A668EE00920A}" type="TxLink">
            <a:rPr lang="en-US" sz="1200" b="1" i="0" u="none" strike="noStrike">
              <a:solidFill>
                <a:sysClr val="windowText" lastClr="000000"/>
              </a:solidFill>
              <a:latin typeface="Book Antiqua" panose="02040602050305030304" pitchFamily="18" charset="0"/>
              <a:cs typeface="Calibri"/>
            </a:rPr>
            <a:pPr/>
            <a:t> € 11,511,751.89 </a:t>
          </a:fld>
          <a:endParaRPr lang="en-US" sz="1200" b="1">
            <a:solidFill>
              <a:sysClr val="windowText" lastClr="000000"/>
            </a:solidFill>
            <a:latin typeface="Book Antiqua" panose="02040602050305030304" pitchFamily="18" charset="0"/>
          </a:endParaRPr>
        </a:p>
      </xdr:txBody>
    </xdr:sp>
    <xdr:clientData/>
  </xdr:twoCellAnchor>
  <xdr:twoCellAnchor>
    <xdr:from>
      <xdr:col>14</xdr:col>
      <xdr:colOff>77257</xdr:colOff>
      <xdr:row>5</xdr:row>
      <xdr:rowOff>122241</xdr:rowOff>
    </xdr:from>
    <xdr:to>
      <xdr:col>15</xdr:col>
      <xdr:colOff>551919</xdr:colOff>
      <xdr:row>7</xdr:row>
      <xdr:rowOff>146053</xdr:rowOff>
    </xdr:to>
    <xdr:sp macro="" textlink="Total_customers">
      <xdr:nvSpPr>
        <xdr:cNvPr id="19" name="TextBox 18">
          <a:extLst>
            <a:ext uri="{FF2B5EF4-FFF2-40B4-BE49-F238E27FC236}">
              <a16:creationId xmlns:a16="http://schemas.microsoft.com/office/drawing/2014/main" id="{ABE3DA34-D3DE-4724-9368-B9E1C3FC5C28}"/>
            </a:ext>
          </a:extLst>
        </xdr:cNvPr>
        <xdr:cNvSpPr txBox="1"/>
      </xdr:nvSpPr>
      <xdr:spPr>
        <a:xfrm>
          <a:off x="8611657" y="1053574"/>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E7C2CA-F9B4-4B74-9301-A9AB364422F8}" type="TxLink">
            <a:rPr lang="en-US" sz="1400" b="1" i="0" u="none" strike="noStrike">
              <a:solidFill>
                <a:sysClr val="windowText" lastClr="000000"/>
              </a:solidFill>
              <a:latin typeface="Book Antiqua" panose="02040602050305030304" pitchFamily="18" charset="0"/>
              <a:cs typeface="Calibri"/>
            </a:rPr>
            <a:pPr/>
            <a:t>200</a:t>
          </a:fld>
          <a:endParaRPr lang="en-US" sz="1400" b="1">
            <a:solidFill>
              <a:sysClr val="windowText" lastClr="000000"/>
            </a:solidFill>
            <a:latin typeface="Book Antiqua" panose="02040602050305030304" pitchFamily="18" charset="0"/>
          </a:endParaRPr>
        </a:p>
      </xdr:txBody>
    </xdr:sp>
    <xdr:clientData/>
  </xdr:twoCellAnchor>
  <xdr:twoCellAnchor>
    <xdr:from>
      <xdr:col>17</xdr:col>
      <xdr:colOff>463444</xdr:colOff>
      <xdr:row>5</xdr:row>
      <xdr:rowOff>154521</xdr:rowOff>
    </xdr:from>
    <xdr:to>
      <xdr:col>19</xdr:col>
      <xdr:colOff>328506</xdr:colOff>
      <xdr:row>7</xdr:row>
      <xdr:rowOff>178333</xdr:rowOff>
    </xdr:to>
    <xdr:sp macro="" textlink="Average_days_to_pay">
      <xdr:nvSpPr>
        <xdr:cNvPr id="20" name="TextBox 19">
          <a:extLst>
            <a:ext uri="{FF2B5EF4-FFF2-40B4-BE49-F238E27FC236}">
              <a16:creationId xmlns:a16="http://schemas.microsoft.com/office/drawing/2014/main" id="{4469A30E-8A01-483D-8290-F77B5C0189E4}"/>
            </a:ext>
          </a:extLst>
        </xdr:cNvPr>
        <xdr:cNvSpPr txBox="1"/>
      </xdr:nvSpPr>
      <xdr:spPr>
        <a:xfrm>
          <a:off x="10826644" y="1085854"/>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76D0B2-C305-420B-998C-30944096288A}" type="TxLink">
            <a:rPr lang="en-US" sz="1400" b="1" i="0" u="none" strike="noStrike">
              <a:solidFill>
                <a:sysClr val="windowText" lastClr="000000"/>
              </a:solidFill>
              <a:latin typeface="Book Antiqua" panose="02040602050305030304" pitchFamily="18" charset="0"/>
              <a:cs typeface="Calibri"/>
            </a:rPr>
            <a:pPr/>
            <a:t>21</a:t>
          </a:fld>
          <a:endParaRPr lang="en-US" sz="1400" b="1">
            <a:solidFill>
              <a:sysClr val="windowText" lastClr="000000"/>
            </a:solidFill>
            <a:latin typeface="Book Antiqua" panose="02040602050305030304" pitchFamily="18" charset="0"/>
          </a:endParaRPr>
        </a:p>
      </xdr:txBody>
    </xdr:sp>
    <xdr:clientData/>
  </xdr:twoCellAnchor>
  <xdr:twoCellAnchor>
    <xdr:from>
      <xdr:col>21</xdr:col>
      <xdr:colOff>328400</xdr:colOff>
      <xdr:row>5</xdr:row>
      <xdr:rowOff>148162</xdr:rowOff>
    </xdr:from>
    <xdr:to>
      <xdr:col>23</xdr:col>
      <xdr:colOff>193462</xdr:colOff>
      <xdr:row>7</xdr:row>
      <xdr:rowOff>171974</xdr:rowOff>
    </xdr:to>
    <xdr:sp macro="" textlink="Collection_rate">
      <xdr:nvSpPr>
        <xdr:cNvPr id="21" name="TextBox 20">
          <a:extLst>
            <a:ext uri="{FF2B5EF4-FFF2-40B4-BE49-F238E27FC236}">
              <a16:creationId xmlns:a16="http://schemas.microsoft.com/office/drawing/2014/main" id="{A188A63A-F046-4CCC-BBA1-9DDAB79B41F7}"/>
            </a:ext>
          </a:extLst>
        </xdr:cNvPr>
        <xdr:cNvSpPr txBox="1"/>
      </xdr:nvSpPr>
      <xdr:spPr>
        <a:xfrm>
          <a:off x="13130000" y="1079495"/>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0A7D6C-A4FA-4636-91DD-B94919862D08}" type="TxLink">
            <a:rPr lang="en-US" sz="1400" b="1" i="0" u="none" strike="noStrike">
              <a:solidFill>
                <a:sysClr val="windowText" lastClr="000000"/>
              </a:solidFill>
              <a:latin typeface="Book Antiqua" panose="02040602050305030304" pitchFamily="18" charset="0"/>
              <a:cs typeface="Calibri"/>
            </a:rPr>
            <a:pPr/>
            <a:t>79%</a:t>
          </a:fld>
          <a:endParaRPr lang="en-US" sz="1400" b="1">
            <a:solidFill>
              <a:sysClr val="windowText" lastClr="000000"/>
            </a:solidFill>
            <a:latin typeface="Book Antiqua" panose="02040602050305030304" pitchFamily="18" charset="0"/>
          </a:endParaRPr>
        </a:p>
      </xdr:txBody>
    </xdr:sp>
    <xdr:clientData/>
  </xdr:twoCellAnchor>
  <xdr:twoCellAnchor>
    <xdr:from>
      <xdr:col>10</xdr:col>
      <xdr:colOff>71120</xdr:colOff>
      <xdr:row>5</xdr:row>
      <xdr:rowOff>138110</xdr:rowOff>
    </xdr:from>
    <xdr:to>
      <xdr:col>12</xdr:col>
      <xdr:colOff>194733</xdr:colOff>
      <xdr:row>7</xdr:row>
      <xdr:rowOff>161922</xdr:rowOff>
    </xdr:to>
    <xdr:sp macro="" textlink="Revenue_gap">
      <xdr:nvSpPr>
        <xdr:cNvPr id="22" name="TextBox 21">
          <a:extLst>
            <a:ext uri="{FF2B5EF4-FFF2-40B4-BE49-F238E27FC236}">
              <a16:creationId xmlns:a16="http://schemas.microsoft.com/office/drawing/2014/main" id="{F7A4DDB3-17DF-450A-A9D5-E8CE1740B245}"/>
            </a:ext>
          </a:extLst>
        </xdr:cNvPr>
        <xdr:cNvSpPr txBox="1"/>
      </xdr:nvSpPr>
      <xdr:spPr>
        <a:xfrm>
          <a:off x="6167120" y="1069443"/>
          <a:ext cx="1342813"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2214F22E-AB08-4DCB-8132-4D18ACE40799}" type="TxLink">
            <a:rPr lang="en-US" sz="1200" b="1" i="0" u="none" strike="noStrike">
              <a:solidFill>
                <a:sysClr val="windowText" lastClr="000000"/>
              </a:solidFill>
              <a:latin typeface="Book Antiqua" panose="02040602050305030304" pitchFamily="18" charset="0"/>
              <a:cs typeface="Calibri"/>
            </a:rPr>
            <a:pPr algn="l"/>
            <a:t> € 2,432,722.49 </a:t>
          </a:fld>
          <a:endParaRPr lang="en-US" sz="1200" b="1">
            <a:solidFill>
              <a:sysClr val="windowText" lastClr="000000"/>
            </a:solidFill>
            <a:latin typeface="Book Antiqua" panose="02040602050305030304" pitchFamily="18" charset="0"/>
          </a:endParaRPr>
        </a:p>
      </xdr:txBody>
    </xdr:sp>
    <xdr:clientData/>
  </xdr:twoCellAnchor>
  <xdr:twoCellAnchor>
    <xdr:from>
      <xdr:col>2</xdr:col>
      <xdr:colOff>566207</xdr:colOff>
      <xdr:row>4</xdr:row>
      <xdr:rowOff>1587</xdr:rowOff>
    </xdr:from>
    <xdr:to>
      <xdr:col>6</xdr:col>
      <xdr:colOff>287867</xdr:colOff>
      <xdr:row>5</xdr:row>
      <xdr:rowOff>80962</xdr:rowOff>
    </xdr:to>
    <xdr:sp macro="" textlink="">
      <xdr:nvSpPr>
        <xdr:cNvPr id="23" name="TextBox 22">
          <a:extLst>
            <a:ext uri="{FF2B5EF4-FFF2-40B4-BE49-F238E27FC236}">
              <a16:creationId xmlns:a16="http://schemas.microsoft.com/office/drawing/2014/main" id="{C348B1E7-4AF7-4F15-ABE4-A94FAC517169}"/>
            </a:ext>
          </a:extLst>
        </xdr:cNvPr>
        <xdr:cNvSpPr txBox="1"/>
      </xdr:nvSpPr>
      <xdr:spPr>
        <a:xfrm>
          <a:off x="1785407" y="746654"/>
          <a:ext cx="2160060" cy="265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latin typeface="Book Antiqua" panose="02040602050305030304" pitchFamily="18" charset="0"/>
            </a:rPr>
            <a:t>Total Amount Billed</a:t>
          </a:r>
        </a:p>
      </xdr:txBody>
    </xdr:sp>
    <xdr:clientData/>
  </xdr:twoCellAnchor>
  <xdr:twoCellAnchor>
    <xdr:from>
      <xdr:col>13</xdr:col>
      <xdr:colOff>559646</xdr:colOff>
      <xdr:row>4</xdr:row>
      <xdr:rowOff>8677</xdr:rowOff>
    </xdr:from>
    <xdr:to>
      <xdr:col>17</xdr:col>
      <xdr:colOff>194522</xdr:colOff>
      <xdr:row>5</xdr:row>
      <xdr:rowOff>92285</xdr:rowOff>
    </xdr:to>
    <xdr:sp macro="" textlink="">
      <xdr:nvSpPr>
        <xdr:cNvPr id="24" name="TextBox 23">
          <a:extLst>
            <a:ext uri="{FF2B5EF4-FFF2-40B4-BE49-F238E27FC236}">
              <a16:creationId xmlns:a16="http://schemas.microsoft.com/office/drawing/2014/main" id="{C3F93482-AD5C-4555-96E2-0B7A97EE4104}"/>
            </a:ext>
          </a:extLst>
        </xdr:cNvPr>
        <xdr:cNvSpPr txBox="1"/>
      </xdr:nvSpPr>
      <xdr:spPr>
        <a:xfrm>
          <a:off x="8484446" y="753744"/>
          <a:ext cx="2073276" cy="269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latin typeface="Book Antiqua" panose="02040602050305030304" pitchFamily="18" charset="0"/>
            </a:rPr>
            <a:t>Total Customers</a:t>
          </a:r>
        </a:p>
      </xdr:txBody>
    </xdr:sp>
    <xdr:clientData/>
  </xdr:twoCellAnchor>
  <xdr:twoCellAnchor>
    <xdr:from>
      <xdr:col>17</xdr:col>
      <xdr:colOff>359727</xdr:colOff>
      <xdr:row>4</xdr:row>
      <xdr:rowOff>22223</xdr:rowOff>
    </xdr:from>
    <xdr:to>
      <xdr:col>21</xdr:col>
      <xdr:colOff>24766</xdr:colOff>
      <xdr:row>5</xdr:row>
      <xdr:rowOff>131762</xdr:rowOff>
    </xdr:to>
    <xdr:sp macro="" textlink="">
      <xdr:nvSpPr>
        <xdr:cNvPr id="25" name="TextBox 24">
          <a:extLst>
            <a:ext uri="{FF2B5EF4-FFF2-40B4-BE49-F238E27FC236}">
              <a16:creationId xmlns:a16="http://schemas.microsoft.com/office/drawing/2014/main" id="{56A5F156-9AF8-4FC3-BF56-08583CED3053}"/>
            </a:ext>
          </a:extLst>
        </xdr:cNvPr>
        <xdr:cNvSpPr txBox="1"/>
      </xdr:nvSpPr>
      <xdr:spPr>
        <a:xfrm>
          <a:off x="10722927" y="767290"/>
          <a:ext cx="2103439" cy="295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latin typeface="Book Antiqua" panose="02040602050305030304" pitchFamily="18" charset="0"/>
            </a:rPr>
            <a:t>Avg Days to Pay</a:t>
          </a:r>
        </a:p>
      </xdr:txBody>
    </xdr:sp>
    <xdr:clientData/>
  </xdr:twoCellAnchor>
  <xdr:twoCellAnchor>
    <xdr:from>
      <xdr:col>21</xdr:col>
      <xdr:colOff>189972</xdr:colOff>
      <xdr:row>4</xdr:row>
      <xdr:rowOff>3280</xdr:rowOff>
    </xdr:from>
    <xdr:to>
      <xdr:col>24</xdr:col>
      <xdr:colOff>423334</xdr:colOff>
      <xdr:row>5</xdr:row>
      <xdr:rowOff>102234</xdr:rowOff>
    </xdr:to>
    <xdr:sp macro="" textlink="">
      <xdr:nvSpPr>
        <xdr:cNvPr id="26" name="TextBox 25">
          <a:extLst>
            <a:ext uri="{FF2B5EF4-FFF2-40B4-BE49-F238E27FC236}">
              <a16:creationId xmlns:a16="http://schemas.microsoft.com/office/drawing/2014/main" id="{A9C32F10-BE8A-4245-B093-37A89399EC72}"/>
            </a:ext>
          </a:extLst>
        </xdr:cNvPr>
        <xdr:cNvSpPr txBox="1"/>
      </xdr:nvSpPr>
      <xdr:spPr>
        <a:xfrm>
          <a:off x="12991572" y="748347"/>
          <a:ext cx="2062162" cy="285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latin typeface="Book Antiqua" panose="02040602050305030304" pitchFamily="18" charset="0"/>
            </a:rPr>
            <a:t>Collection Rate %</a:t>
          </a:r>
        </a:p>
      </xdr:txBody>
    </xdr:sp>
    <xdr:clientData/>
  </xdr:twoCellAnchor>
  <xdr:twoCellAnchor>
    <xdr:from>
      <xdr:col>10</xdr:col>
      <xdr:colOff>266911</xdr:colOff>
      <xdr:row>3</xdr:row>
      <xdr:rowOff>172402</xdr:rowOff>
    </xdr:from>
    <xdr:to>
      <xdr:col>13</xdr:col>
      <xdr:colOff>394441</xdr:colOff>
      <xdr:row>5</xdr:row>
      <xdr:rowOff>73976</xdr:rowOff>
    </xdr:to>
    <xdr:sp macro="" textlink="">
      <xdr:nvSpPr>
        <xdr:cNvPr id="27" name="TextBox 26">
          <a:extLst>
            <a:ext uri="{FF2B5EF4-FFF2-40B4-BE49-F238E27FC236}">
              <a16:creationId xmlns:a16="http://schemas.microsoft.com/office/drawing/2014/main" id="{C35EB5F7-CBED-4B8D-B96B-C473F44749B3}"/>
            </a:ext>
          </a:extLst>
        </xdr:cNvPr>
        <xdr:cNvSpPr txBox="1"/>
      </xdr:nvSpPr>
      <xdr:spPr>
        <a:xfrm>
          <a:off x="6362911" y="731202"/>
          <a:ext cx="1956330" cy="27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latin typeface="Book Antiqua" panose="02040602050305030304" pitchFamily="18" charset="0"/>
            </a:rPr>
            <a:t>Revenue Gap</a:t>
          </a:r>
        </a:p>
      </xdr:txBody>
    </xdr:sp>
    <xdr:clientData/>
  </xdr:twoCellAnchor>
  <xdr:twoCellAnchor>
    <xdr:from>
      <xdr:col>6</xdr:col>
      <xdr:colOff>453072</xdr:colOff>
      <xdr:row>3</xdr:row>
      <xdr:rowOff>176530</xdr:rowOff>
    </xdr:from>
    <xdr:to>
      <xdr:col>10</xdr:col>
      <xdr:colOff>101706</xdr:colOff>
      <xdr:row>5</xdr:row>
      <xdr:rowOff>93979</xdr:rowOff>
    </xdr:to>
    <xdr:sp macro="" textlink="">
      <xdr:nvSpPr>
        <xdr:cNvPr id="28" name="TextBox 27">
          <a:extLst>
            <a:ext uri="{FF2B5EF4-FFF2-40B4-BE49-F238E27FC236}">
              <a16:creationId xmlns:a16="http://schemas.microsoft.com/office/drawing/2014/main" id="{D005E63D-7D84-40A6-A14B-87067B01593B}"/>
            </a:ext>
          </a:extLst>
        </xdr:cNvPr>
        <xdr:cNvSpPr txBox="1"/>
      </xdr:nvSpPr>
      <xdr:spPr>
        <a:xfrm>
          <a:off x="4110672" y="735330"/>
          <a:ext cx="2087034" cy="28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ysClr val="windowText" lastClr="000000"/>
              </a:solidFill>
              <a:latin typeface="Book Antiqua" panose="02040602050305030304" pitchFamily="18" charset="0"/>
            </a:rPr>
            <a:t>Total Amount Paid</a:t>
          </a:r>
        </a:p>
      </xdr:txBody>
    </xdr:sp>
    <xdr:clientData/>
  </xdr:twoCellAnchor>
  <xdr:twoCellAnchor>
    <xdr:from>
      <xdr:col>3</xdr:col>
      <xdr:colOff>8466</xdr:colOff>
      <xdr:row>10</xdr:row>
      <xdr:rowOff>101599</xdr:rowOff>
    </xdr:from>
    <xdr:to>
      <xdr:col>12</xdr:col>
      <xdr:colOff>279400</xdr:colOff>
      <xdr:row>23</xdr:row>
      <xdr:rowOff>67734</xdr:rowOff>
    </xdr:to>
    <xdr:graphicFrame macro="">
      <xdr:nvGraphicFramePr>
        <xdr:cNvPr id="29" name="Chart 28">
          <a:extLst>
            <a:ext uri="{FF2B5EF4-FFF2-40B4-BE49-F238E27FC236}">
              <a16:creationId xmlns:a16="http://schemas.microsoft.com/office/drawing/2014/main" id="{6C693B4F-0CEA-4E9B-94F9-0506EC7DD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42333</xdr:colOff>
      <xdr:row>10</xdr:row>
      <xdr:rowOff>-1</xdr:rowOff>
    </xdr:from>
    <xdr:to>
      <xdr:col>18</xdr:col>
      <xdr:colOff>0</xdr:colOff>
      <xdr:row>21</xdr:row>
      <xdr:rowOff>113242</xdr:rowOff>
    </xdr:to>
    <xdr:graphicFrame macro="">
      <xdr:nvGraphicFramePr>
        <xdr:cNvPr id="30" name="Chart 29">
          <a:extLst>
            <a:ext uri="{FF2B5EF4-FFF2-40B4-BE49-F238E27FC236}">
              <a16:creationId xmlns:a16="http://schemas.microsoft.com/office/drawing/2014/main" id="{80A473E6-8FBD-41D0-8BA4-62D72E7E5C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508001</xdr:colOff>
      <xdr:row>24</xdr:row>
      <xdr:rowOff>99482</xdr:rowOff>
    </xdr:from>
    <xdr:to>
      <xdr:col>12</xdr:col>
      <xdr:colOff>592667</xdr:colOff>
      <xdr:row>35</xdr:row>
      <xdr:rowOff>160866</xdr:rowOff>
    </xdr:to>
    <xdr:graphicFrame macro="">
      <xdr:nvGraphicFramePr>
        <xdr:cNvPr id="31" name="Chart 30">
          <a:extLst>
            <a:ext uri="{FF2B5EF4-FFF2-40B4-BE49-F238E27FC236}">
              <a16:creationId xmlns:a16="http://schemas.microsoft.com/office/drawing/2014/main" id="{C3016270-2044-4B31-8A8F-F990EB5E0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575733</xdr:colOff>
      <xdr:row>23</xdr:row>
      <xdr:rowOff>59267</xdr:rowOff>
    </xdr:from>
    <xdr:to>
      <xdr:col>24</xdr:col>
      <xdr:colOff>516466</xdr:colOff>
      <xdr:row>34</xdr:row>
      <xdr:rowOff>176211</xdr:rowOff>
    </xdr:to>
    <xdr:graphicFrame macro="">
      <xdr:nvGraphicFramePr>
        <xdr:cNvPr id="32" name="Chart 31">
          <a:extLst>
            <a:ext uri="{FF2B5EF4-FFF2-40B4-BE49-F238E27FC236}">
              <a16:creationId xmlns:a16="http://schemas.microsoft.com/office/drawing/2014/main" id="{25F36C81-5367-46A1-BEA2-500655307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601133</xdr:colOff>
      <xdr:row>10</xdr:row>
      <xdr:rowOff>71968</xdr:rowOff>
    </xdr:from>
    <xdr:to>
      <xdr:col>25</xdr:col>
      <xdr:colOff>379974</xdr:colOff>
      <xdr:row>22</xdr:row>
      <xdr:rowOff>46568</xdr:rowOff>
    </xdr:to>
    <xdr:graphicFrame macro="">
      <xdr:nvGraphicFramePr>
        <xdr:cNvPr id="33" name="Chart 32">
          <a:extLst>
            <a:ext uri="{FF2B5EF4-FFF2-40B4-BE49-F238E27FC236}">
              <a16:creationId xmlns:a16="http://schemas.microsoft.com/office/drawing/2014/main" id="{9CBC189E-C0F4-4BBF-B4A4-C899CBDC7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441323</xdr:colOff>
      <xdr:row>6</xdr:row>
      <xdr:rowOff>96841</xdr:rowOff>
    </xdr:from>
    <xdr:to>
      <xdr:col>6</xdr:col>
      <xdr:colOff>306385</xdr:colOff>
      <xdr:row>8</xdr:row>
      <xdr:rowOff>120654</xdr:rowOff>
    </xdr:to>
    <xdr:sp macro="" textlink="YoY_TotalAmountbilled">
      <xdr:nvSpPr>
        <xdr:cNvPr id="35" name="TextBox 34">
          <a:extLst>
            <a:ext uri="{FF2B5EF4-FFF2-40B4-BE49-F238E27FC236}">
              <a16:creationId xmlns:a16="http://schemas.microsoft.com/office/drawing/2014/main" id="{0F4D5EC9-2843-45E3-B30A-7ED7C277167B}"/>
            </a:ext>
          </a:extLst>
        </xdr:cNvPr>
        <xdr:cNvSpPr txBox="1"/>
      </xdr:nvSpPr>
      <xdr:spPr>
        <a:xfrm>
          <a:off x="2879723" y="1214441"/>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07234B-B5CB-4247-A9C5-325EDB5FCE60}" type="TxLink">
            <a:rPr lang="en-US" sz="1100" b="1" i="0" u="none" strike="noStrike">
              <a:solidFill>
                <a:srgbClr val="000000"/>
              </a:solidFill>
              <a:latin typeface="Book Antiqua" panose="02040602050305030304" pitchFamily="18" charset="0"/>
              <a:cs typeface="Calibri"/>
            </a:rPr>
            <a:pPr/>
            <a:t>🔼 22% YoY</a:t>
          </a:fld>
          <a:endParaRPr lang="en-US" sz="1200" b="1">
            <a:solidFill>
              <a:sysClr val="windowText" lastClr="000000"/>
            </a:solidFill>
            <a:latin typeface="Book Antiqua" panose="02040602050305030304" pitchFamily="18" charset="0"/>
          </a:endParaRPr>
        </a:p>
      </xdr:txBody>
    </xdr:sp>
    <xdr:clientData/>
  </xdr:twoCellAnchor>
  <xdr:twoCellAnchor>
    <xdr:from>
      <xdr:col>8</xdr:col>
      <xdr:colOff>305858</xdr:colOff>
      <xdr:row>6</xdr:row>
      <xdr:rowOff>96842</xdr:rowOff>
    </xdr:from>
    <xdr:to>
      <xdr:col>10</xdr:col>
      <xdr:colOff>170920</xdr:colOff>
      <xdr:row>8</xdr:row>
      <xdr:rowOff>120655</xdr:rowOff>
    </xdr:to>
    <xdr:sp macro="" textlink="YoY_totalamountpaid">
      <xdr:nvSpPr>
        <xdr:cNvPr id="36" name="TextBox 35">
          <a:extLst>
            <a:ext uri="{FF2B5EF4-FFF2-40B4-BE49-F238E27FC236}">
              <a16:creationId xmlns:a16="http://schemas.microsoft.com/office/drawing/2014/main" id="{AC26547E-47F0-41EB-B3CE-8A6263892381}"/>
            </a:ext>
          </a:extLst>
        </xdr:cNvPr>
        <xdr:cNvSpPr txBox="1"/>
      </xdr:nvSpPr>
      <xdr:spPr>
        <a:xfrm>
          <a:off x="5182658" y="1214442"/>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18446A-B9C5-42BF-80F9-BF8192DFD505}" type="TxLink">
            <a:rPr lang="en-US" sz="1100" b="1" i="0" u="none" strike="noStrike">
              <a:solidFill>
                <a:srgbClr val="000000"/>
              </a:solidFill>
              <a:latin typeface="Book Antiqua" panose="02040602050305030304" pitchFamily="18" charset="0"/>
              <a:cs typeface="Calibri"/>
            </a:rPr>
            <a:pPr/>
            <a:t>🔼 46% YoY</a:t>
          </a:fld>
          <a:endParaRPr lang="en-US" sz="1200" b="1">
            <a:solidFill>
              <a:sysClr val="windowText" lastClr="000000"/>
            </a:solidFill>
            <a:latin typeface="Book Antiqua" panose="02040602050305030304" pitchFamily="18" charset="0"/>
          </a:endParaRPr>
        </a:p>
      </xdr:txBody>
    </xdr:sp>
    <xdr:clientData/>
  </xdr:twoCellAnchor>
  <xdr:twoCellAnchor>
    <xdr:from>
      <xdr:col>12</xdr:col>
      <xdr:colOff>128059</xdr:colOff>
      <xdr:row>6</xdr:row>
      <xdr:rowOff>113774</xdr:rowOff>
    </xdr:from>
    <xdr:to>
      <xdr:col>13</xdr:col>
      <xdr:colOff>602721</xdr:colOff>
      <xdr:row>8</xdr:row>
      <xdr:rowOff>137587</xdr:rowOff>
    </xdr:to>
    <xdr:sp macro="" textlink="YoY_revenuegap">
      <xdr:nvSpPr>
        <xdr:cNvPr id="37" name="TextBox 36">
          <a:extLst>
            <a:ext uri="{FF2B5EF4-FFF2-40B4-BE49-F238E27FC236}">
              <a16:creationId xmlns:a16="http://schemas.microsoft.com/office/drawing/2014/main" id="{A6B1027C-BDB3-4DE0-A41A-44574838425E}"/>
            </a:ext>
          </a:extLst>
        </xdr:cNvPr>
        <xdr:cNvSpPr txBox="1"/>
      </xdr:nvSpPr>
      <xdr:spPr>
        <a:xfrm>
          <a:off x="7443259" y="1231374"/>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3B94AE-99D1-4E09-B461-5CC5144C0DA2}" type="TxLink">
            <a:rPr lang="en-US" sz="1100" b="1" i="0" u="none" strike="noStrike">
              <a:solidFill>
                <a:srgbClr val="000000"/>
              </a:solidFill>
              <a:latin typeface="Book Antiqua" panose="02040602050305030304" pitchFamily="18" charset="0"/>
              <a:cs typeface="Calibri"/>
            </a:rPr>
            <a:pPr/>
            <a:t>🔽 37% YoY</a:t>
          </a:fld>
          <a:endParaRPr lang="en-US" sz="1200" b="1">
            <a:solidFill>
              <a:sysClr val="windowText" lastClr="000000"/>
            </a:solidFill>
            <a:latin typeface="Book Antiqua" panose="02040602050305030304" pitchFamily="18" charset="0"/>
          </a:endParaRPr>
        </a:p>
      </xdr:txBody>
    </xdr:sp>
    <xdr:clientData/>
  </xdr:twoCellAnchor>
  <xdr:twoCellAnchor>
    <xdr:from>
      <xdr:col>23</xdr:col>
      <xdr:colOff>238125</xdr:colOff>
      <xdr:row>6</xdr:row>
      <xdr:rowOff>113774</xdr:rowOff>
    </xdr:from>
    <xdr:to>
      <xdr:col>25</xdr:col>
      <xdr:colOff>103187</xdr:colOff>
      <xdr:row>8</xdr:row>
      <xdr:rowOff>137587</xdr:rowOff>
    </xdr:to>
    <xdr:sp macro="" textlink="YoY_collectionrate">
      <xdr:nvSpPr>
        <xdr:cNvPr id="38" name="TextBox 37">
          <a:extLst>
            <a:ext uri="{FF2B5EF4-FFF2-40B4-BE49-F238E27FC236}">
              <a16:creationId xmlns:a16="http://schemas.microsoft.com/office/drawing/2014/main" id="{DC717704-17A5-4527-8DE7-866D127EDC48}"/>
            </a:ext>
          </a:extLst>
        </xdr:cNvPr>
        <xdr:cNvSpPr txBox="1"/>
      </xdr:nvSpPr>
      <xdr:spPr>
        <a:xfrm>
          <a:off x="14258925" y="1231374"/>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FD01F14-5E06-4C77-96D4-66960A144CE8}" type="TxLink">
            <a:rPr lang="en-US" sz="1100" b="1" i="0" u="none" strike="noStrike">
              <a:solidFill>
                <a:srgbClr val="000000"/>
              </a:solidFill>
              <a:latin typeface="Book Antiqua" panose="02040602050305030304" pitchFamily="18" charset="0"/>
              <a:cs typeface="Calibri"/>
            </a:rPr>
            <a:pPr/>
            <a:t>🔼 19% YoY</a:t>
          </a:fld>
          <a:endParaRPr lang="en-US" sz="1200" b="1">
            <a:solidFill>
              <a:sysClr val="windowText" lastClr="000000"/>
            </a:solidFill>
            <a:latin typeface="Book Antiqua" panose="02040602050305030304" pitchFamily="18" charset="0"/>
          </a:endParaRPr>
        </a:p>
      </xdr:txBody>
    </xdr:sp>
    <xdr:clientData/>
  </xdr:twoCellAnchor>
  <xdr:twoCellAnchor>
    <xdr:from>
      <xdr:col>19</xdr:col>
      <xdr:colOff>348191</xdr:colOff>
      <xdr:row>6</xdr:row>
      <xdr:rowOff>122242</xdr:rowOff>
    </xdr:from>
    <xdr:to>
      <xdr:col>21</xdr:col>
      <xdr:colOff>213253</xdr:colOff>
      <xdr:row>8</xdr:row>
      <xdr:rowOff>146055</xdr:rowOff>
    </xdr:to>
    <xdr:sp macro="" textlink="YoY_averagedays">
      <xdr:nvSpPr>
        <xdr:cNvPr id="39" name="TextBox 38">
          <a:extLst>
            <a:ext uri="{FF2B5EF4-FFF2-40B4-BE49-F238E27FC236}">
              <a16:creationId xmlns:a16="http://schemas.microsoft.com/office/drawing/2014/main" id="{4CE8623B-54FC-40A8-8124-D7B61F65F580}"/>
            </a:ext>
          </a:extLst>
        </xdr:cNvPr>
        <xdr:cNvSpPr txBox="1"/>
      </xdr:nvSpPr>
      <xdr:spPr>
        <a:xfrm>
          <a:off x="11930591" y="1239842"/>
          <a:ext cx="1084262" cy="39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52C5AF-4F1B-4E26-9C47-19F6ED325509}" type="TxLink">
            <a:rPr lang="en-US" sz="1100" b="1" i="0" u="none" strike="noStrike">
              <a:solidFill>
                <a:srgbClr val="000000"/>
              </a:solidFill>
              <a:latin typeface="Book Antiqua" panose="02040602050305030304" pitchFamily="18" charset="0"/>
              <a:cs typeface="Calibri"/>
            </a:rPr>
            <a:pPr/>
            <a:t>🔽 3% YoY</a:t>
          </a:fld>
          <a:endParaRPr lang="en-US" sz="1200" b="1">
            <a:solidFill>
              <a:sysClr val="windowText" lastClr="000000"/>
            </a:solidFill>
            <a:latin typeface="Book Antiqua" panose="02040602050305030304" pitchFamily="18" charset="0"/>
          </a:endParaRPr>
        </a:p>
      </xdr:txBody>
    </xdr:sp>
    <xdr:clientData/>
  </xdr:twoCellAnchor>
  <xdr:twoCellAnchor>
    <xdr:from>
      <xdr:col>2</xdr:col>
      <xdr:colOff>84667</xdr:colOff>
      <xdr:row>1</xdr:row>
      <xdr:rowOff>73026</xdr:rowOff>
    </xdr:from>
    <xdr:to>
      <xdr:col>17</xdr:col>
      <xdr:colOff>8467</xdr:colOff>
      <xdr:row>3</xdr:row>
      <xdr:rowOff>67733</xdr:rowOff>
    </xdr:to>
    <xdr:sp macro="" textlink="">
      <xdr:nvSpPr>
        <xdr:cNvPr id="40" name="TextBox 39">
          <a:extLst>
            <a:ext uri="{FF2B5EF4-FFF2-40B4-BE49-F238E27FC236}">
              <a16:creationId xmlns:a16="http://schemas.microsoft.com/office/drawing/2014/main" id="{FE049568-6CEA-4EEC-AB65-38DF76EAED25}"/>
            </a:ext>
          </a:extLst>
        </xdr:cNvPr>
        <xdr:cNvSpPr txBox="1"/>
      </xdr:nvSpPr>
      <xdr:spPr>
        <a:xfrm>
          <a:off x="1303867" y="259293"/>
          <a:ext cx="9067800" cy="367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ysClr val="windowText" lastClr="000000"/>
              </a:solidFill>
              <a:latin typeface="Book Antiqua" panose="02040602050305030304" pitchFamily="18" charset="0"/>
            </a:rPr>
            <a:t>BrightGrid Utilities:</a:t>
          </a:r>
          <a:r>
            <a:rPr lang="en-US" sz="1800" b="1" baseline="0">
              <a:solidFill>
                <a:sysClr val="windowText" lastClr="000000"/>
              </a:solidFill>
              <a:latin typeface="Book Antiqua" panose="02040602050305030304" pitchFamily="18" charset="0"/>
            </a:rPr>
            <a:t> </a:t>
          </a:r>
          <a:r>
            <a:rPr lang="en-US" sz="1800" b="1">
              <a:solidFill>
                <a:sysClr val="windowText" lastClr="000000"/>
              </a:solidFill>
              <a:latin typeface="Book Antiqua" panose="02040602050305030304" pitchFamily="18" charset="0"/>
            </a:rPr>
            <a:t>Billing Trend &amp; Revenue Recovery Dashboard (2022-2024)</a:t>
          </a:r>
        </a:p>
      </xdr:txBody>
    </xdr:sp>
    <xdr:clientData/>
  </xdr:twoCellAnchor>
  <xdr:twoCellAnchor>
    <xdr:from>
      <xdr:col>2</xdr:col>
      <xdr:colOff>482600</xdr:colOff>
      <xdr:row>22</xdr:row>
      <xdr:rowOff>13758</xdr:rowOff>
    </xdr:from>
    <xdr:to>
      <xdr:col>11</xdr:col>
      <xdr:colOff>59266</xdr:colOff>
      <xdr:row>23</xdr:row>
      <xdr:rowOff>169333</xdr:rowOff>
    </xdr:to>
    <xdr:sp macro="" textlink="">
      <xdr:nvSpPr>
        <xdr:cNvPr id="41" name="TextBox 40">
          <a:extLst>
            <a:ext uri="{FF2B5EF4-FFF2-40B4-BE49-F238E27FC236}">
              <a16:creationId xmlns:a16="http://schemas.microsoft.com/office/drawing/2014/main" id="{C920F492-4091-4FA6-B064-4BA18205728A}"/>
            </a:ext>
          </a:extLst>
        </xdr:cNvPr>
        <xdr:cNvSpPr txBox="1"/>
      </xdr:nvSpPr>
      <xdr:spPr>
        <a:xfrm>
          <a:off x="1701800" y="4111625"/>
          <a:ext cx="5063066" cy="341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ysClr val="windowText" lastClr="000000"/>
              </a:solidFill>
              <a:latin typeface="Book Antiqua" panose="02040602050305030304" pitchFamily="18" charset="0"/>
            </a:rPr>
            <a:t>Which region has the biggest gap between billed and paid?</a:t>
          </a:r>
        </a:p>
      </xdr:txBody>
    </xdr:sp>
    <xdr:clientData/>
  </xdr:twoCellAnchor>
  <xdr:twoCellAnchor>
    <xdr:from>
      <xdr:col>18</xdr:col>
      <xdr:colOff>0</xdr:colOff>
      <xdr:row>8</xdr:row>
      <xdr:rowOff>33868</xdr:rowOff>
    </xdr:from>
    <xdr:to>
      <xdr:col>26</xdr:col>
      <xdr:colOff>169333</xdr:colOff>
      <xdr:row>9</xdr:row>
      <xdr:rowOff>135467</xdr:rowOff>
    </xdr:to>
    <xdr:sp macro="" textlink="">
      <xdr:nvSpPr>
        <xdr:cNvPr id="42" name="TextBox 41">
          <a:extLst>
            <a:ext uri="{FF2B5EF4-FFF2-40B4-BE49-F238E27FC236}">
              <a16:creationId xmlns:a16="http://schemas.microsoft.com/office/drawing/2014/main" id="{2D8D34CA-8835-4D04-B1CF-C1E78EF6D61A}"/>
            </a:ext>
          </a:extLst>
        </xdr:cNvPr>
        <xdr:cNvSpPr txBox="1"/>
      </xdr:nvSpPr>
      <xdr:spPr>
        <a:xfrm>
          <a:off x="10972800" y="1524001"/>
          <a:ext cx="5046133" cy="2878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ysClr val="windowText" lastClr="000000"/>
              </a:solidFill>
              <a:latin typeface="Book Antiqua" panose="02040602050305030304" pitchFamily="18" charset="0"/>
            </a:rPr>
            <a:t>Which Region Consumes the Most Energy?</a:t>
          </a:r>
        </a:p>
      </xdr:txBody>
    </xdr:sp>
    <xdr:clientData/>
  </xdr:twoCellAnchor>
  <xdr:twoCellAnchor>
    <xdr:from>
      <xdr:col>12</xdr:col>
      <xdr:colOff>550334</xdr:colOff>
      <xdr:row>22</xdr:row>
      <xdr:rowOff>13759</xdr:rowOff>
    </xdr:from>
    <xdr:to>
      <xdr:col>22</xdr:col>
      <xdr:colOff>42334</xdr:colOff>
      <xdr:row>23</xdr:row>
      <xdr:rowOff>101600</xdr:rowOff>
    </xdr:to>
    <xdr:sp macro="" textlink="">
      <xdr:nvSpPr>
        <xdr:cNvPr id="43" name="TextBox 42">
          <a:extLst>
            <a:ext uri="{FF2B5EF4-FFF2-40B4-BE49-F238E27FC236}">
              <a16:creationId xmlns:a16="http://schemas.microsoft.com/office/drawing/2014/main" id="{A031CC35-8CBD-4550-95D5-5F562A60295D}"/>
            </a:ext>
          </a:extLst>
        </xdr:cNvPr>
        <xdr:cNvSpPr txBox="1"/>
      </xdr:nvSpPr>
      <xdr:spPr>
        <a:xfrm>
          <a:off x="7865534" y="4111626"/>
          <a:ext cx="5588000" cy="27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solidFill>
                <a:sysClr val="windowText" lastClr="000000"/>
              </a:solidFill>
              <a:latin typeface="Book Antiqua" panose="02040602050305030304" pitchFamily="18" charset="0"/>
            </a:rPr>
            <a:t>Billing Trend Over Time</a:t>
          </a:r>
          <a:r>
            <a:rPr lang="en-US" sz="1200" b="1" baseline="0">
              <a:solidFill>
                <a:sysClr val="windowText" lastClr="000000"/>
              </a:solidFill>
              <a:latin typeface="Book Antiqua" panose="02040602050305030304" pitchFamily="18" charset="0"/>
            </a:rPr>
            <a:t> (Are </a:t>
          </a:r>
          <a:r>
            <a:rPr lang="en-US" sz="1200" b="1">
              <a:solidFill>
                <a:sysClr val="windowText" lastClr="000000"/>
              </a:solidFill>
              <a:latin typeface="Book Antiqua" panose="02040602050305030304" pitchFamily="18" charset="0"/>
            </a:rPr>
            <a:t>Bills Increasing or Decreasing?)</a:t>
          </a:r>
        </a:p>
      </xdr:txBody>
    </xdr:sp>
    <xdr:clientData/>
  </xdr:twoCellAnchor>
  <xdr:twoCellAnchor>
    <xdr:from>
      <xdr:col>2</xdr:col>
      <xdr:colOff>491067</xdr:colOff>
      <xdr:row>8</xdr:row>
      <xdr:rowOff>56092</xdr:rowOff>
    </xdr:from>
    <xdr:to>
      <xdr:col>11</xdr:col>
      <xdr:colOff>59266</xdr:colOff>
      <xdr:row>10</xdr:row>
      <xdr:rowOff>8465</xdr:rowOff>
    </xdr:to>
    <xdr:sp macro="" textlink="">
      <xdr:nvSpPr>
        <xdr:cNvPr id="44" name="TextBox 43">
          <a:extLst>
            <a:ext uri="{FF2B5EF4-FFF2-40B4-BE49-F238E27FC236}">
              <a16:creationId xmlns:a16="http://schemas.microsoft.com/office/drawing/2014/main" id="{C2C1DE55-1AC5-4B7B-A9D2-D3D05BD7D1C9}"/>
            </a:ext>
          </a:extLst>
        </xdr:cNvPr>
        <xdr:cNvSpPr txBox="1"/>
      </xdr:nvSpPr>
      <xdr:spPr>
        <a:xfrm>
          <a:off x="1710267" y="1546225"/>
          <a:ext cx="5054599" cy="324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a:latin typeface="Book Antiqua" panose="02040602050305030304" pitchFamily="18" charset="0"/>
            </a:rPr>
            <a:t>Who Pays Late? (Region + Account Type)</a:t>
          </a:r>
          <a:endParaRPr lang="en-US" sz="1200" b="1">
            <a:solidFill>
              <a:sysClr val="windowText" lastClr="000000"/>
            </a:solidFill>
            <a:latin typeface="Book Antiqua" panose="02040602050305030304" pitchFamily="18" charset="0"/>
          </a:endParaRPr>
        </a:p>
      </xdr:txBody>
    </xdr:sp>
    <xdr:clientData/>
  </xdr:twoCellAnchor>
  <xdr:twoCellAnchor>
    <xdr:from>
      <xdr:col>12</xdr:col>
      <xdr:colOff>84667</xdr:colOff>
      <xdr:row>8</xdr:row>
      <xdr:rowOff>47627</xdr:rowOff>
    </xdr:from>
    <xdr:to>
      <xdr:col>18</xdr:col>
      <xdr:colOff>118533</xdr:colOff>
      <xdr:row>9</xdr:row>
      <xdr:rowOff>135467</xdr:rowOff>
    </xdr:to>
    <xdr:sp macro="" textlink="">
      <xdr:nvSpPr>
        <xdr:cNvPr id="45" name="TextBox 44">
          <a:extLst>
            <a:ext uri="{FF2B5EF4-FFF2-40B4-BE49-F238E27FC236}">
              <a16:creationId xmlns:a16="http://schemas.microsoft.com/office/drawing/2014/main" id="{8F30133D-FF77-45EC-8184-DA2B9BB2F7F2}"/>
            </a:ext>
          </a:extLst>
        </xdr:cNvPr>
        <xdr:cNvSpPr txBox="1"/>
      </xdr:nvSpPr>
      <xdr:spPr>
        <a:xfrm>
          <a:off x="7399867" y="1537760"/>
          <a:ext cx="3691466" cy="274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latin typeface="Book Antiqua" panose="02040602050305030304" pitchFamily="18" charset="0"/>
            </a:rPr>
            <a:t>What proportion of bills are Paid, Unpaid or Partial?</a:t>
          </a:r>
          <a:endParaRPr lang="en-US" sz="1100" b="1">
            <a:solidFill>
              <a:sysClr val="windowText" lastClr="000000"/>
            </a:solidFill>
            <a:latin typeface="Book Antiqua" panose="02040602050305030304" pitchFamily="18" charset="0"/>
          </a:endParaRPr>
        </a:p>
      </xdr:txBody>
    </xdr:sp>
    <xdr:clientData/>
  </xdr:twoCellAnchor>
  <xdr:twoCellAnchor editAs="oneCell">
    <xdr:from>
      <xdr:col>0</xdr:col>
      <xdr:colOff>0</xdr:colOff>
      <xdr:row>3</xdr:row>
      <xdr:rowOff>148167</xdr:rowOff>
    </xdr:from>
    <xdr:to>
      <xdr:col>2</xdr:col>
      <xdr:colOff>423333</xdr:colOff>
      <xdr:row>7</xdr:row>
      <xdr:rowOff>12701</xdr:rowOff>
    </xdr:to>
    <mc:AlternateContent xmlns:mc="http://schemas.openxmlformats.org/markup-compatibility/2006" xmlns:a14="http://schemas.microsoft.com/office/drawing/2010/main">
      <mc:Choice Requires="a14">
        <xdr:graphicFrame macro="">
          <xdr:nvGraphicFramePr>
            <xdr:cNvPr id="46" name="Year">
              <a:extLst>
                <a:ext uri="{FF2B5EF4-FFF2-40B4-BE49-F238E27FC236}">
                  <a16:creationId xmlns:a16="http://schemas.microsoft.com/office/drawing/2014/main" id="{30372AFC-342A-4C93-9D41-A822DCB9F38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706967"/>
              <a:ext cx="1642533" cy="609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8467</xdr:colOff>
      <xdr:row>7</xdr:row>
      <xdr:rowOff>97366</xdr:rowOff>
    </xdr:from>
    <xdr:to>
      <xdr:col>2</xdr:col>
      <xdr:colOff>406400</xdr:colOff>
      <xdr:row>10</xdr:row>
      <xdr:rowOff>151341</xdr:rowOff>
    </xdr:to>
    <mc:AlternateContent xmlns:mc="http://schemas.openxmlformats.org/markup-compatibility/2006" xmlns:a14="http://schemas.microsoft.com/office/drawing/2010/main">
      <mc:Choice Requires="a14">
        <xdr:graphicFrame macro="">
          <xdr:nvGraphicFramePr>
            <xdr:cNvPr id="47" name="utility_type">
              <a:extLst>
                <a:ext uri="{FF2B5EF4-FFF2-40B4-BE49-F238E27FC236}">
                  <a16:creationId xmlns:a16="http://schemas.microsoft.com/office/drawing/2014/main" id="{D3876D6D-146A-4DD3-A554-985C3B44BBCC}"/>
                </a:ext>
              </a:extLst>
            </xdr:cNvPr>
            <xdr:cNvGraphicFramePr/>
          </xdr:nvGraphicFramePr>
          <xdr:xfrm>
            <a:off x="0" y="0"/>
            <a:ext cx="0" cy="0"/>
          </xdr:xfrm>
          <a:graphic>
            <a:graphicData uri="http://schemas.microsoft.com/office/drawing/2010/slicer">
              <sle:slicer xmlns:sle="http://schemas.microsoft.com/office/drawing/2010/slicer" name="utility_type"/>
            </a:graphicData>
          </a:graphic>
        </xdr:graphicFrame>
      </mc:Choice>
      <mc:Fallback xmlns="">
        <xdr:sp macro="" textlink="">
          <xdr:nvSpPr>
            <xdr:cNvPr id="0" name=""/>
            <xdr:cNvSpPr>
              <a:spLocks noTextEdit="1"/>
            </xdr:cNvSpPr>
          </xdr:nvSpPr>
          <xdr:spPr>
            <a:xfrm>
              <a:off x="8467" y="1401233"/>
              <a:ext cx="1617133" cy="612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8467</xdr:colOff>
      <xdr:row>11</xdr:row>
      <xdr:rowOff>46566</xdr:rowOff>
    </xdr:from>
    <xdr:to>
      <xdr:col>2</xdr:col>
      <xdr:colOff>389467</xdr:colOff>
      <xdr:row>14</xdr:row>
      <xdr:rowOff>101600</xdr:rowOff>
    </xdr:to>
    <mc:AlternateContent xmlns:mc="http://schemas.openxmlformats.org/markup-compatibility/2006" xmlns:a14="http://schemas.microsoft.com/office/drawing/2010/main">
      <mc:Choice Requires="a14">
        <xdr:graphicFrame macro="">
          <xdr:nvGraphicFramePr>
            <xdr:cNvPr id="48" name="payment_status">
              <a:extLst>
                <a:ext uri="{FF2B5EF4-FFF2-40B4-BE49-F238E27FC236}">
                  <a16:creationId xmlns:a16="http://schemas.microsoft.com/office/drawing/2014/main" id="{A96CB22B-AD24-4558-84CA-414426584AFE}"/>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mlns="">
        <xdr:sp macro="" textlink="">
          <xdr:nvSpPr>
            <xdr:cNvPr id="0" name=""/>
            <xdr:cNvSpPr>
              <a:spLocks noTextEdit="1"/>
            </xdr:cNvSpPr>
          </xdr:nvSpPr>
          <xdr:spPr>
            <a:xfrm>
              <a:off x="8467" y="2095499"/>
              <a:ext cx="1600200" cy="6138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173567</xdr:rowOff>
    </xdr:from>
    <xdr:to>
      <xdr:col>2</xdr:col>
      <xdr:colOff>381000</xdr:colOff>
      <xdr:row>18</xdr:row>
      <xdr:rowOff>50800</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8B4B13AA-4405-4369-AF70-E731953B0FC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781300"/>
              <a:ext cx="1600200" cy="62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156634</xdr:rowOff>
    </xdr:from>
    <xdr:to>
      <xdr:col>2</xdr:col>
      <xdr:colOff>389466</xdr:colOff>
      <xdr:row>22</xdr:row>
      <xdr:rowOff>52917</xdr:rowOff>
    </xdr:to>
    <mc:AlternateContent xmlns:mc="http://schemas.openxmlformats.org/markup-compatibility/2006" xmlns:a14="http://schemas.microsoft.com/office/drawing/2010/main">
      <mc:Choice Requires="a14">
        <xdr:graphicFrame macro="">
          <xdr:nvGraphicFramePr>
            <xdr:cNvPr id="50" name="account_type">
              <a:extLst>
                <a:ext uri="{FF2B5EF4-FFF2-40B4-BE49-F238E27FC236}">
                  <a16:creationId xmlns:a16="http://schemas.microsoft.com/office/drawing/2014/main" id="{46F91F4A-9B88-4F6D-A139-0190F13278DD}"/>
                </a:ext>
              </a:extLst>
            </xdr:cNvPr>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mlns="">
        <xdr:sp macro="" textlink="">
          <xdr:nvSpPr>
            <xdr:cNvPr id="0" name=""/>
            <xdr:cNvSpPr>
              <a:spLocks noTextEdit="1"/>
            </xdr:cNvSpPr>
          </xdr:nvSpPr>
          <xdr:spPr>
            <a:xfrm>
              <a:off x="0" y="3509434"/>
              <a:ext cx="1608666" cy="641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4768517" backgroundQuery="1" createdVersion="6" refreshedVersion="6" minRefreshableVersion="3" recordCount="0" supportSubquery="1" supportAdvancedDrill="1" xr:uid="{1C2CAB41-60EB-4AD0-9CB2-B98C27067377}">
  <cacheSource type="external" connectionId="4"/>
  <cacheFields count="3">
    <cacheField name="[payments].[payment_status].[payment_status]" caption="payment_status" numFmtId="0" hierarchy="17" level="1">
      <sharedItems count="3">
        <s v="Paid"/>
        <s v="Partial"/>
        <s v="Unpaid"/>
      </sharedItems>
    </cacheField>
    <cacheField name="[Measures].[Count of payment_id]" caption="Count of payment_id" numFmtId="0" hierarchy="36"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2" memberValueDatatype="130" unbalanced="0"/>
    <cacheHierarchy uniqueName="[billing].[customer_id]" caption="customer_id" attribute="1" defaultMemberUniqueName="[billing].[customer_id].[All]" allUniqueName="[billing].[customer_id].[All]" dimensionUniqueName="[billing]" displayFolder="" count="2"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2"/>
      </fieldsUsage>
    </cacheHierarchy>
    <cacheHierarchy uniqueName="[billing].[billing_month]" caption="billing_month" attribute="1" defaultMemberUniqueName="[billing].[billing_month].[All]" allUniqueName="[billing].[billing_month].[All]" dimensionUniqueName="[billing]" displayFolder="" count="2" memberValueDatatype="20" unbalanced="0"/>
    <cacheHierarchy uniqueName="[billing].[billing_month.name]" caption="billing_month.name" attribute="1" defaultMemberUniqueName="[billing].[billing_month.name].[All]" allUniqueName="[billing].[billing_month.name].[All]" dimensionUniqueName="[billing]" displayFolder="" count="2"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2" memberValueDatatype="5" unbalanced="0"/>
    <cacheHierarchy uniqueName="[billing].[unit_rate]" caption="unit_rate" attribute="1" defaultMemberUniqueName="[billing].[unit_rate].[All]" allUniqueName="[billing].[unit_rate].[All]" dimensionUniqueName="[billing]" displayFolder="" count="2" memberValueDatatype="5" unbalanced="0"/>
    <cacheHierarchy uniqueName="[billing].[amount_billed]" caption="amount_billed" attribute="1" defaultMemberUniqueName="[billing].[amount_billed].[All]" allUniqueName="[billing].[amount_billed].[All]" dimensionUniqueName="[billing]" displayFolder="" count="2" memberValueDatatype="5" unbalanced="0"/>
    <cacheHierarchy uniqueName="[billing].[data_flag]" caption="data_flag" attribute="1" defaultMemberUniqueName="[billing].[data_flag].[All]" allUniqueName="[billing].[data_flag].[All]" dimensionUniqueName="[billing]" displayFolder="" count="2" memberValueDatatype="130" unbalanced="0"/>
    <cacheHierarchy uniqueName="[customers__1].[customer_id]" caption="customer_id" attribute="1" defaultMemberUniqueName="[customers__1].[customer_id].[All]" allUniqueName="[customers__1].[customer_id].[All]" dimensionUniqueName="[customers__1]" displayFolder="" count="2" memberValueDatatype="130" unbalanced="0"/>
    <cacheHierarchy uniqueName="[customers__1].[customer_name]" caption="customer_name" attribute="1" defaultMemberUniqueName="[customers__1].[customer_name].[All]" allUniqueName="[customers__1].[customer_name].[All]" dimensionUniqueName="[customers__1]" displayFolder="" count="2"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2" memberValueDatatype="7"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bill_id]" caption="bill_id" attribute="1" defaultMemberUniqueName="[payments].[bill_id].[All]" allUniqueName="[payments].[bill_i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fieldsUsage count="2">
        <fieldUsage x="-1"/>
        <fieldUsage x="0"/>
      </fieldsUsage>
    </cacheHierarchy>
    <cacheHierarchy uniqueName="[payments].[amount_paid]" caption="amount_paid" attribute="1" defaultMemberUniqueName="[payments].[amount_paid].[All]" allUniqueName="[payments].[amount_paid].[All]" dimensionUniqueName="[payments]" displayFolder="" count="2" memberValueDatatype="5" unbalanced="0"/>
    <cacheHierarchy uniqueName="[payments].[due_date]" caption="due_date" attribute="1" time="1" defaultMemberUniqueName="[payments].[due_date].[All]" allUniqueName="[payments].[due_date].[All]" dimensionUniqueName="[payments]" displayFolder="" count="2" memberValueDatatype="7"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days_to_pay]" caption="days_to_pay" attribute="1" defaultMemberUniqueName="[payments].[days_to_pay].[All]" allUniqueName="[payments].[days_to_pay].[All]" dimensionUniqueName="[payments]" displayFolder="" count="2" memberValueDatatype="20" unbalanced="0"/>
    <cacheHierarchy uniqueName="[payments].[payment_flag]" caption="payment_flag" attribute="1" defaultMemberUniqueName="[payments].[payment_flag].[All]" allUniqueName="[payments].[payment_flag].[All]" dimensionUniqueName="[payments]" displayFolder="" count="2"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5347225" backgroundQuery="1" createdVersion="6" refreshedVersion="6" minRefreshableVersion="3" recordCount="0" supportSubquery="1" supportAdvancedDrill="1" xr:uid="{BF03694C-512F-4D70-8610-1B60325264E8}">
  <cacheSource type="external" connectionId="4"/>
  <cacheFields count="3">
    <cacheField name="[Measures].[Sum of amount_billed]" caption="Sum of amount_billed" numFmtId="0" hierarchy="27" level="32767"/>
    <cacheField name="[Measures].[Sum of amount_paid]" caption="Sum of amount_paid" numFmtId="0" hierarchy="35"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2"/>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6041664" backgroundQuery="1" createdVersion="6" refreshedVersion="6" minRefreshableVersion="3" recordCount="0" supportSubquery="1" supportAdvancedDrill="1" xr:uid="{C0DC72C6-E9BF-422C-A87A-398DEEFEA13F}">
  <cacheSource type="external" connectionId="4"/>
  <cacheFields count="4">
    <cacheField name="[Measures].[Sum of amount_billed]" caption="Sum of amount_billed" numFmtId="0" hierarchy="27" level="32767"/>
    <cacheField name="[Measures].[Sum of amount_paid]" caption="Sum of amount_paid" numFmtId="0" hierarchy="35" level="32767"/>
    <cacheField name="[billing].[billing_year].[billing_year]" caption="billing_year" numFmtId="0" hierarchy="5"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billing].[billing_year].&amp;[2022]"/>
            <x15:cachedUniqueName index="1" name="[billing].[billing_year].&amp;[2023]"/>
            <x15:cachedUniqueName index="2" name="[billing].[billing_year].&amp;[2024]"/>
          </x15:cachedUniqueNames>
        </ext>
      </extLst>
    </cacheField>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3"/>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fieldsUsage count="2">
        <fieldUsage x="-1"/>
        <fieldUsage x="2"/>
      </fieldsUsage>
    </cacheHierarchy>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673611" backgroundQuery="1" createdVersion="6" refreshedVersion="6" minRefreshableVersion="3" recordCount="0" supportSubquery="1" supportAdvancedDrill="1" xr:uid="{D92733D1-E1BA-4E67-9E0B-D749CB7000F8}">
  <cacheSource type="external" connectionId="4"/>
  <cacheFields count="4">
    <cacheField name="[Measures].[Sum of amount_billed]" caption="Sum of amount_billed" numFmtId="0" hierarchy="27" level="32767"/>
    <cacheField name="[Measures].[Sum of amount_paid]" caption="Sum of amount_paid" numFmtId="0" hierarchy="35" level="32767"/>
    <cacheField name="[billing].[billing_year].[billing_year]" caption="billing_year" numFmtId="0" hierarchy="5"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billing].[billing_year].&amp;[2022]"/>
            <x15:cachedUniqueName index="1" name="[billing].[billing_year].&amp;[2023]"/>
            <x15:cachedUniqueName index="2" name="[billing].[billing_year].&amp;[2024]"/>
          </x15:cachedUniqueNames>
        </ext>
      </extLst>
    </cacheField>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3"/>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fieldsUsage count="2">
        <fieldUsage x="-1"/>
        <fieldUsage x="2"/>
      </fieldsUsage>
    </cacheHierarchy>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7199072" backgroundQuery="1" createdVersion="6" refreshedVersion="6" minRefreshableVersion="3" recordCount="0" supportSubquery="1" supportAdvancedDrill="1" xr:uid="{94BB9BEF-16BB-4DC7-99E0-C0AACD5E11EB}">
  <cacheSource type="external" connectionId="4"/>
  <cacheFields count="2">
    <cacheField name="[Measures].[Average of days_to_pay]" caption="Average of days_to_pay" numFmtId="0" hierarchy="30"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1"/>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777778" backgroundQuery="1" createdVersion="6" refreshedVersion="6" minRefreshableVersion="3" recordCount="0" supportSubquery="1" supportAdvancedDrill="1" xr:uid="{E455BB8B-B340-4EFA-93B3-D2A5BD629383}">
  <cacheSource type="external" connectionId="4"/>
  <cacheFields count="3">
    <cacheField name="[Measures].[Average of days_to_pay]" caption="Average of days_to_pay" numFmtId="0" hierarchy="30" level="32767"/>
    <cacheField name="[billing].[billing_year].[billing_year]" caption="billing_year" numFmtId="0" hierarchy="5"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billing].[billing_year].&amp;[2022]"/>
            <x15:cachedUniqueName index="1" name="[billing].[billing_year].&amp;[2023]"/>
            <x15:cachedUniqueName index="2" name="[billing].[billing_year].&amp;[2024]"/>
          </x15:cachedUniqueNames>
        </ext>
      </extLst>
    </cacheField>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2"/>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fieldsUsage count="2">
        <fieldUsage x="-1"/>
        <fieldUsage x="1"/>
      </fieldsUsage>
    </cacheHierarchy>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8125003" backgroundQuery="1" createdVersion="6" refreshedVersion="6" minRefreshableVersion="3" recordCount="0" supportSubquery="1" supportAdvancedDrill="1" xr:uid="{7FCE5240-0142-41AA-86C5-72FCC0C40D35}">
  <cacheSource type="external" connectionId="4"/>
  <cacheFields count="2">
    <cacheField name="[Measures].[Count of customer_id]" caption="Count of customer_id" numFmtId="0" hierarchy="37"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1"/>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8935188" backgroundQuery="1" createdVersion="6" refreshedVersion="6" minRefreshableVersion="3" recordCount="0" supportSubquery="1" supportAdvancedDrill="1" xr:uid="{C4920824-686E-4380-8972-06F24D5EA839}">
  <cacheSource type="external" connectionId="4"/>
  <cacheFields count="4">
    <cacheField name="[billing].[billing_year].[billing_year]" caption="billing_year" numFmtId="0" hierarchy="5" level="1">
      <sharedItems containsSemiMixedTypes="0" containsString="0" containsNumber="1" containsInteger="1" minValue="2022" maxValue="2024" count="3">
        <n v="2022"/>
        <n v="2023"/>
        <n v="2024"/>
      </sharedItems>
      <extLst>
        <ext xmlns:x15="http://schemas.microsoft.com/office/spreadsheetml/2010/11/main" uri="{4F2E5C28-24EA-4eb8-9CBF-B6C8F9C3D259}">
          <x15:cachedUniqueNames>
            <x15:cachedUniqueName index="0" name="[billing].[billing_year].&amp;[2022]"/>
            <x15:cachedUniqueName index="1" name="[billing].[billing_year].&amp;[2023]"/>
            <x15:cachedUniqueName index="2" name="[billing].[billing_year].&amp;[2024]"/>
          </x15:cachedUniqueNames>
        </ext>
      </extLst>
    </cacheField>
    <cacheField name="[Measures].[Sum of amount_billed]" caption="Sum of amount_billed" numFmtId="0" hierarchy="27" level="32767"/>
    <cacheField name="[billing].[billing_month.name].[billing_month.name]" caption="billing_month.name" numFmtId="0" hierarchy="4" level="1">
      <sharedItems count="12">
        <s v="Apr"/>
        <s v="Aug"/>
        <s v="Dec"/>
        <s v="Feb"/>
        <s v="Jan"/>
        <s v="Jul"/>
        <s v="Jun"/>
        <s v="Mar"/>
        <s v="May"/>
        <s v="Nov"/>
        <s v="Oct"/>
        <s v="Sep"/>
      </sharedItems>
    </cacheField>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3"/>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2" memberValueDatatype="130" unbalanced="0">
      <fieldsUsage count="2">
        <fieldUsage x="-1"/>
        <fieldUsage x="2"/>
      </fieldsUsage>
    </cacheHierarchy>
    <cacheHierarchy uniqueName="[billing].[billing_year]" caption="billing_year" attribute="1" defaultMemberUniqueName="[billing].[billing_year].[All]" allUniqueName="[billing].[billing_year].[All]" dimensionUniqueName="[billing]" displayFolder="" count="2" memberValueDatatype="20" unbalanced="0">
      <fieldsUsage count="2">
        <fieldUsage x="-1"/>
        <fieldUsage x="0"/>
      </fieldsUsage>
    </cacheHierarchy>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29976851" backgroundQuery="1" createdVersion="6" refreshedVersion="6" minRefreshableVersion="3" recordCount="0" supportSubquery="1" supportAdvancedDrill="1" xr:uid="{3DC07EFE-AF4B-4457-A1BC-280BA4EDE907}">
  <cacheSource type="external" connectionId="4"/>
  <cacheFields count="3">
    <cacheField name="[customers__1].[region].[region]" caption="region" numFmtId="0" hierarchy="12" level="1">
      <sharedItems count="8">
        <s v="Birmingham"/>
        <s v="Bristol"/>
        <s v="Edinburgh"/>
        <s v="Glasgow"/>
        <s v="Leeds"/>
        <s v="London"/>
        <s v="Manchester"/>
        <s v="Sheffield"/>
      </sharedItems>
    </cacheField>
    <cacheField name="[Measures].[Sum of units_consumed]" caption="Sum of units_consumed" numFmtId="0" hierarchy="28"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2" memberValueDatatype="130" unbalanced="0"/>
    <cacheHierarchy uniqueName="[billing].[customer_id]" caption="customer_id" attribute="1" defaultMemberUniqueName="[billing].[customer_id].[All]" allUniqueName="[billing].[customer_id].[All]" dimensionUniqueName="[billing]" displayFolder="" count="2"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2"/>
      </fieldsUsage>
    </cacheHierarchy>
    <cacheHierarchy uniqueName="[billing].[billing_month]" caption="billing_month" attribute="1" defaultMemberUniqueName="[billing].[billing_month].[All]" allUniqueName="[billing].[billing_month].[All]" dimensionUniqueName="[billing]" displayFolder="" count="2" memberValueDatatype="20" unbalanced="0"/>
    <cacheHierarchy uniqueName="[billing].[billing_month.name]" caption="billing_month.name" attribute="1" defaultMemberUniqueName="[billing].[billing_month.name].[All]" allUniqueName="[billing].[billing_month.name].[All]" dimensionUniqueName="[billing]" displayFolder="" count="2"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2" memberValueDatatype="5" unbalanced="0"/>
    <cacheHierarchy uniqueName="[billing].[unit_rate]" caption="unit_rate" attribute="1" defaultMemberUniqueName="[billing].[unit_rate].[All]" allUniqueName="[billing].[unit_rate].[All]" dimensionUniqueName="[billing]" displayFolder="" count="2" memberValueDatatype="5" unbalanced="0"/>
    <cacheHierarchy uniqueName="[billing].[amount_billed]" caption="amount_billed" attribute="1" defaultMemberUniqueName="[billing].[amount_billed].[All]" allUniqueName="[billing].[amount_billed].[All]" dimensionUniqueName="[billing]" displayFolder="" count="2" memberValueDatatype="5" unbalanced="0"/>
    <cacheHierarchy uniqueName="[billing].[data_flag]" caption="data_flag" attribute="1" defaultMemberUniqueName="[billing].[data_flag].[All]" allUniqueName="[billing].[data_flag].[All]" dimensionUniqueName="[billing]" displayFolder="" count="2" memberValueDatatype="130" unbalanced="0"/>
    <cacheHierarchy uniqueName="[customers__1].[customer_id]" caption="customer_id" attribute="1" defaultMemberUniqueName="[customers__1].[customer_id].[All]" allUniqueName="[customers__1].[customer_id].[All]" dimensionUniqueName="[customers__1]" displayFolder="" count="2" memberValueDatatype="130" unbalanced="0"/>
    <cacheHierarchy uniqueName="[customers__1].[customer_name]" caption="customer_name" attribute="1" defaultMemberUniqueName="[customers__1].[customer_name].[All]" allUniqueName="[customers__1].[customer_name].[All]" dimensionUniqueName="[customers__1]" displayFolder="" count="2" memberValueDatatype="130" unbalanced="0"/>
    <cacheHierarchy uniqueName="[customers__1].[region]" caption="region" attribute="1" defaultMemberUniqueName="[customers__1].[region].[All]" allUniqueName="[customers__1].[region].[All]" dimensionUniqueName="[customers__1]" displayFolder="" count="2" memberValueDatatype="130" unbalanced="0">
      <fieldsUsage count="2">
        <fieldUsage x="-1"/>
        <fieldUsage x="0"/>
      </fieldsUsage>
    </cacheHierarchy>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2" memberValueDatatype="7" unbalanced="0"/>
    <cacheHierarchy uniqueName="[payments].[payment_id]" caption="payment_id" attribute="1" defaultMemberUniqueName="[payments].[payment_id].[All]" allUniqueName="[payments].[payment_id].[All]" dimensionUniqueName="[payments]" displayFolder="" count="2" memberValueDatatype="130" unbalanced="0"/>
    <cacheHierarchy uniqueName="[payments].[bill_id]" caption="bill_id" attribute="1" defaultMemberUniqueName="[payments].[bill_id].[All]" allUniqueName="[payments].[bill_id].[All]" dimensionUniqueName="[payments]" displayFolder="" count="2"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2" memberValueDatatype="5" unbalanced="0"/>
    <cacheHierarchy uniqueName="[payments].[due_date]" caption="due_date" attribute="1" time="1" defaultMemberUniqueName="[payments].[due_date].[All]" allUniqueName="[payments].[due_date].[All]" dimensionUniqueName="[payments]" displayFolder="" count="2" memberValueDatatype="7" unbalanced="0"/>
    <cacheHierarchy uniqueName="[payments].[payment_date]" caption="payment_date" attribute="1" time="1" defaultMemberUniqueName="[payments].[payment_date].[All]" allUniqueName="[payments].[payment_date].[All]" dimensionUniqueName="[payments]" displayFolder="" count="2" memberValueDatatype="7" unbalanced="0"/>
    <cacheHierarchy uniqueName="[payments].[days_to_pay]" caption="days_to_pay" attribute="1" defaultMemberUniqueName="[payments].[days_to_pay].[All]" allUniqueName="[payments].[days_to_pay].[All]" dimensionUniqueName="[payments]" displayFolder="" count="2" memberValueDatatype="20" unbalanced="0"/>
    <cacheHierarchy uniqueName="[payments].[payment_flag]" caption="payment_flag" attribute="1" defaultMemberUniqueName="[payments].[payment_flag].[All]" allUniqueName="[payments].[payment_flag].[All]" dimensionUniqueName="[payments]" displayFolder="" count="2"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30902775" backgroundQuery="1" createdVersion="6" refreshedVersion="6" minRefreshableVersion="3" recordCount="0" supportSubquery="1" supportAdvancedDrill="1" xr:uid="{C72C2950-9F33-425F-90D0-028779B3C2C7}">
  <cacheSource type="external" connectionId="4"/>
  <cacheFields count="7">
    <cacheField name="[Measures].[Average of days_to_pay]" caption="Average of days_to_pay" numFmtId="0" hierarchy="30" level="32767"/>
    <cacheField name="[payments].[payment_status].[payment_status]" caption="payment_status" numFmtId="0" hierarchy="17" level="1">
      <sharedItems containsSemiMixedTypes="0" containsNonDate="0" containsString="0"/>
    </cacheField>
    <cacheField name="[customers__1].[customer_id].[customer_id]" caption="customer_id" numFmtId="0" hierarchy="10" level="1">
      <sharedItems count="10">
        <s v="CUST-0024"/>
        <s v="CUST-0042"/>
        <s v="CUST-0050"/>
        <s v="CUST-0056"/>
        <s v="CUST-0071"/>
        <s v="CUST-0080"/>
        <s v="CUST-0112"/>
        <s v="CUST-0134"/>
        <s v="CUST-0157"/>
        <s v="CUST-0181"/>
      </sharedItems>
    </cacheField>
    <cacheField name="[customers__1].[customer_name].[customer_name]" caption="customer_name" numFmtId="0" hierarchy="11" level="1">
      <sharedItems count="143">
        <s v="Isla Smith"/>
        <s v="Mia Jones"/>
        <s v="Joshua Roberts"/>
        <s v="Thomas Roberts"/>
        <s v="Harry Taylor"/>
        <s v="Charlotte Thompson"/>
        <s v="William Jones"/>
        <s v="Amelia Johnson"/>
        <s v="Charlie Wilson"/>
        <s v="Charlie Walker"/>
        <s v="Emily Williams"/>
        <s v="James Thompson"/>
        <s v="Charlie Jones"/>
        <s v="Thomas Williams"/>
        <s v="Henry Evans"/>
        <s v="Ella Jones"/>
        <s v="Poppy Jones"/>
        <s v="Oliver Johnson"/>
        <s v="Lily Williams"/>
        <s v="Grace Thompson"/>
        <s v="Unknown"/>
        <s v="Grace Taylor"/>
        <s v="Mia Wright"/>
        <s v="Poppy Evans"/>
        <s v="Charlotte Wilson"/>
        <s v="James Smith"/>
        <s v="Amelia Taylor"/>
        <s v="Charlie Johnson"/>
        <s v="Emily Wright"/>
        <s v="Lily Davies"/>
        <s v="Mia Wilson"/>
        <s v="George Wilson"/>
        <s v="William Smith"/>
        <s v="Mia Johnson"/>
        <s v="Henry Walker"/>
        <s v="Joshua White"/>
        <s v="Sophie Jones"/>
        <s v="Henry Roberts"/>
        <s v="James White"/>
        <s v="Grace Wilson"/>
        <s v="Isla Jones"/>
        <s v="Charlotte Brown"/>
        <s v="Mia Brown"/>
        <s v="Mia Williams"/>
        <s v="Charlie Thomas"/>
        <s v="Oliver Davies"/>
        <s v="Charlotte Roberts"/>
        <s v="Amelia White"/>
        <s v="Mia White"/>
        <s v="Oliver Williams"/>
        <s v="Isla Evans"/>
        <s v="William Davies"/>
        <s v="William Johnson"/>
        <s v="Henry Brown"/>
        <s v="Oliver Thomas"/>
        <s v="James Roberts"/>
        <s v="James Wilson"/>
        <s v="George Brown"/>
        <s v="Joshua Wilson"/>
        <s v="Thomas Johnson"/>
        <s v="Lily Thompson"/>
        <s v="Emily Thompson"/>
        <s v="George Walker"/>
        <s v="Harry Williams"/>
        <s v="William Thompson"/>
        <s v="Ella Taylor"/>
        <s v="William Walker"/>
        <s v="William Roberts"/>
        <s v="James Wright"/>
        <s v="Oliver Walker"/>
        <s v="Oliver Taylor"/>
        <s v="Ella Johnson"/>
        <s v="Poppy Roberts"/>
        <s v="Oliver White"/>
        <s v="Emily Jones"/>
        <s v="Henry Wright"/>
        <s v="Thomas Walker"/>
        <s v="Poppy Wright"/>
        <s v="Charlie Davies"/>
        <s v="James Williams"/>
        <s v="Ella Thomas"/>
        <s v="Oliver Jones"/>
        <s v="Henry Davies"/>
        <s v="Thomas Brown"/>
        <s v="Charlotte Williams"/>
        <s v="Ella Wilson"/>
        <s v="George Evans"/>
        <s v="George Taylor"/>
        <s v="Joshua Evans"/>
        <s v="George Williams"/>
        <s v="Poppy Wilson"/>
        <s v="Thomas Jones"/>
        <s v="Jack Evans"/>
        <s v="Harry Jones"/>
        <s v="Isla Wilson"/>
        <s v="Sophie Wilson"/>
        <s v="Sophie Davies"/>
        <s v="Harry White"/>
        <s v="Emily Walker"/>
        <s v="Charlie Evans"/>
        <s v="William Taylor"/>
        <s v="Joshua Brown"/>
        <s v="Mia Evans"/>
        <s v="William Evans"/>
        <s v="Harry Evans"/>
        <s v="Poppy Walker"/>
        <s v="Ella Thompson"/>
        <s v="Oliver Smith"/>
        <s v="Emily Roberts"/>
        <s v="Harry Johnson"/>
        <s v="Charlotte Walker"/>
        <s v="Harry Wright"/>
        <s v="Sophie Brown"/>
        <s v="George Wright"/>
        <s v="Charlie Roberts"/>
        <s v="Poppy White"/>
        <s v="Thomas White"/>
        <s v="Charlotte Johnson"/>
        <s v="Isla Thompson"/>
        <s v="Jack Wilson"/>
        <s v="Poppy Smith"/>
        <s v="George Thompson"/>
        <s v="Charlie Wright"/>
        <s v="Lily Thomas"/>
        <s v="Henry Jones"/>
        <s v="Thomas Thomas"/>
        <s v="Mia Walker"/>
        <s v="Thomas Evans"/>
        <s v="Lily Jones"/>
        <s v="Mia Thomas"/>
        <s v="Isla Roberts"/>
        <s v="Isla Davies"/>
        <s v="Harry Roberts"/>
        <s v="Joshua Taylor"/>
        <s v="Henry Wilson"/>
        <s v="Amelia Smith"/>
        <s v="Emily Thomas"/>
        <s v="Lily Smith"/>
        <s v="Sophie Wright"/>
        <s v="Isla Taylor"/>
        <s v="Grace Walker"/>
        <s v="Isla Thomas"/>
        <s v="Harry Brown"/>
      </sharedItems>
    </cacheField>
    <cacheField name="[customers__1].[region].[region]" caption="region" numFmtId="0" hierarchy="12" level="1">
      <sharedItems count="8">
        <s v="Birmingham"/>
        <s v="Bristol"/>
        <s v="Edinburgh"/>
        <s v="Glasgow"/>
        <s v="Leeds"/>
        <s v="London"/>
        <s v="Manchester"/>
        <s v="Sheffield"/>
      </sharedItems>
    </cacheField>
    <cacheField name="[customers__1].[account_type].[account_type]" caption="account_type" numFmtId="0" hierarchy="13" level="1">
      <sharedItems count="3">
        <s v="Commercial"/>
        <s v="Industrial"/>
        <s v="Residential"/>
      </sharedItems>
    </cacheField>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6"/>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2" memberValueDatatype="130" unbalanced="0">
      <fieldsUsage count="2">
        <fieldUsage x="-1"/>
        <fieldUsage x="2"/>
      </fieldsUsage>
    </cacheHierarchy>
    <cacheHierarchy uniqueName="[customers__1].[customer_name]" caption="customer_name" attribute="1" defaultMemberUniqueName="[customers__1].[customer_name].[All]" allUniqueName="[customers__1].[customer_name].[All]" dimensionUniqueName="[customers__1]" displayFolder="" count="2" memberValueDatatype="130" unbalanced="0">
      <fieldsUsage count="2">
        <fieldUsage x="-1"/>
        <fieldUsage x="3"/>
      </fieldsUsage>
    </cacheHierarchy>
    <cacheHierarchy uniqueName="[customers__1].[region]" caption="region" attribute="1" defaultMemberUniqueName="[customers__1].[region].[All]" allUniqueName="[customers__1].[region].[All]" dimensionUniqueName="[customers__1]" displayFolder="" count="2" memberValueDatatype="130" unbalanced="0">
      <fieldsUsage count="2">
        <fieldUsage x="-1"/>
        <fieldUsage x="4"/>
      </fieldsUsage>
    </cacheHierarchy>
    <cacheHierarchy uniqueName="[customers__1].[account_type]" caption="account_type" attribute="1" defaultMemberUniqueName="[customers__1].[account_type].[All]" allUniqueName="[customers__1].[account_type].[All]" dimensionUniqueName="[customers__1]" displayFolder="" count="2" memberValueDatatype="130" unbalanced="0">
      <fieldsUsage count="2">
        <fieldUsage x="-1"/>
        <fieldUsage x="5"/>
      </fieldsUsage>
    </cacheHierarchy>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fieldsUsage count="2">
        <fieldUsage x="-1"/>
        <fieldUsage x="1"/>
      </fieldsUsage>
    </cacheHierarchy>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31944445" backgroundQuery="1" createdVersion="6" refreshedVersion="6" minRefreshableVersion="3" recordCount="0" supportSubquery="1" supportAdvancedDrill="1" xr:uid="{AF69B86A-672E-45F1-9851-48444A5710C5}">
  <cacheSource type="external" connectionId="4"/>
  <cacheFields count="4">
    <cacheField name="[customers__1].[region].[region]" caption="region" numFmtId="0" hierarchy="12" level="1">
      <sharedItems count="8">
        <s v="Birmingham"/>
        <s v="Bristol"/>
        <s v="Edinburgh"/>
        <s v="Glasgow"/>
        <s v="Leeds"/>
        <s v="London"/>
        <s v="Manchester"/>
        <s v="Sheffield"/>
      </sharedItems>
    </cacheField>
    <cacheField name="[Measures].[Sum of amount_billed]" caption="Sum of amount_billed" numFmtId="0" hierarchy="27" level="32767"/>
    <cacheField name="[Measures].[Sum of amount_paid]" caption="Sum of amount_paid" numFmtId="0" hierarchy="35"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3"/>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fieldsUsage count="2">
        <fieldUsage x="-1"/>
        <fieldUsage x="0"/>
      </fieldsUsage>
    </cacheHierarchy>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32175929" backgroundQuery="1" createdVersion="6" refreshedVersion="6" minRefreshableVersion="3" recordCount="0" supportSubquery="1" supportAdvancedDrill="1" xr:uid="{975CE080-BD77-43C6-9755-46B7EBB61648}">
  <cacheSource type="external" connectionId="4"/>
  <cacheFields count="2">
    <cacheField name="[Measures].[Sum of amount_billed]" caption="Sum of amount_billed" numFmtId="0" hierarchy="27"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1"/>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9.545532407406" backgroundQuery="1" createdVersion="6" refreshedVersion="6" minRefreshableVersion="3" recordCount="0" supportSubquery="1" supportAdvancedDrill="1" xr:uid="{71E2D70D-7215-43FF-8401-5DC66123AEE9}">
  <cacheSource type="external" connectionId="4"/>
  <cacheFields count="2">
    <cacheField name="[Measures].[Sum of amount_paid]" caption="Sum of amount_paid" numFmtId="0" hierarchy="35" level="32767"/>
    <cacheField name="[billing].[utility_type].[utility_type]" caption="utility_type" numFmtId="0" hierarchy="2" level="1">
      <sharedItems containsSemiMixedTypes="0" containsNonDate="0" containsString="0"/>
    </cacheField>
  </cacheFields>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fieldsUsage count="2">
        <fieldUsage x="-1"/>
        <fieldUsage x="1"/>
      </fieldsUsage>
    </cacheHierarchy>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dimensions count="4">
    <dimension name="billing" uniqueName="[billing]" caption="billing"/>
    <dimension name="customers__1" uniqueName="[customers__1]" caption="customers__1"/>
    <dimension measure="1" name="Measures" uniqueName="[Measures]" caption="Measures"/>
    <dimension name="payments" uniqueName="[payments]" caption="payments"/>
  </dimensions>
  <measureGroups count="3">
    <measureGroup name="billing" caption="billing"/>
    <measureGroup name="customers__1" caption="customers__1"/>
    <measureGroup name="payments" caption="payments"/>
  </measureGroups>
  <maps count="6">
    <map measureGroup="0" dimension="0"/>
    <map measureGroup="0" dimension="1"/>
    <map measureGroup="1" dimension="1"/>
    <map measureGroup="2" dimension="0"/>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04.842863425925" backgroundQuery="1" createdVersion="3" refreshedVersion="6" minRefreshableVersion="3" recordCount="0" supportSubquery="1" supportAdvancedDrill="1" xr:uid="{E118FD1D-02E6-4767-857F-91A9ADC8C91F}">
  <cacheSource type="external" connectionId="4">
    <extLst>
      <ext xmlns:x14="http://schemas.microsoft.com/office/spreadsheetml/2009/9/main" uri="{F057638F-6D5F-4e77-A914-E7F072B9BCA8}">
        <x14:sourceConnection name="ThisWorkbookDataModel"/>
      </ext>
    </extLst>
  </cacheSource>
  <cacheFields count="0"/>
  <cacheHierarchies count="38">
    <cacheHierarchy uniqueName="[billing].[bill_id]" caption="bill_id" attribute="1" defaultMemberUniqueName="[billing].[bill_id].[All]" allUniqueName="[billing].[bill_id].[All]" dimensionUniqueName="[billing]" displayFolder="" count="0" memberValueDatatype="130" unbalanced="0"/>
    <cacheHierarchy uniqueName="[billing].[customer_id]" caption="customer_id" attribute="1" defaultMemberUniqueName="[billing].[customer_id].[All]" allUniqueName="[billing].[customer_id].[All]" dimensionUniqueName="[billing]" displayFolder="" count="0" memberValueDatatype="130" unbalanced="0"/>
    <cacheHierarchy uniqueName="[billing].[utility_type]" caption="utility_type" attribute="1" defaultMemberUniqueName="[billing].[utility_type].[All]" allUniqueName="[billing].[utility_type].[All]" dimensionUniqueName="[billing]" displayFolder="" count="2" memberValueDatatype="130" unbalanced="0"/>
    <cacheHierarchy uniqueName="[billing].[billing_month]" caption="billing_month" attribute="1" defaultMemberUniqueName="[billing].[billing_month].[All]" allUniqueName="[billing].[billing_month].[All]" dimensionUniqueName="[billing]" displayFolder="" count="0" memberValueDatatype="20" unbalanced="0"/>
    <cacheHierarchy uniqueName="[billing].[billing_month.name]" caption="billing_month.name" attribute="1" defaultMemberUniqueName="[billing].[billing_month.name].[All]" allUniqueName="[billing].[billing_month.name].[All]" dimensionUniqueName="[billing]" displayFolder="" count="0" memberValueDatatype="130" unbalanced="0"/>
    <cacheHierarchy uniqueName="[billing].[billing_year]" caption="billing_year" attribute="1" defaultMemberUniqueName="[billing].[billing_year].[All]" allUniqueName="[billing].[billing_year].[All]" dimensionUniqueName="[billing]" displayFolder="" count="2" memberValueDatatype="20" unbalanced="0"/>
    <cacheHierarchy uniqueName="[billing].[units_consumed]" caption="units_consumed" attribute="1" defaultMemberUniqueName="[billing].[units_consumed].[All]" allUniqueName="[billing].[units_consumed].[All]" dimensionUniqueName="[billing]" displayFolder="" count="0" memberValueDatatype="5" unbalanced="0"/>
    <cacheHierarchy uniqueName="[billing].[unit_rate]" caption="unit_rate" attribute="1" defaultMemberUniqueName="[billing].[unit_rate].[All]" allUniqueName="[billing].[unit_rate].[All]" dimensionUniqueName="[billing]" displayFolder="" count="0" memberValueDatatype="5" unbalanced="0"/>
    <cacheHierarchy uniqueName="[billing].[amount_billed]" caption="amount_billed" attribute="1" defaultMemberUniqueName="[billing].[amount_billed].[All]" allUniqueName="[billing].[amount_billed].[All]" dimensionUniqueName="[billing]" displayFolder="" count="0" memberValueDatatype="5" unbalanced="0"/>
    <cacheHierarchy uniqueName="[billing].[data_flag]" caption="data_flag" attribute="1" defaultMemberUniqueName="[billing].[data_flag].[All]" allUniqueName="[billing].[data_flag].[All]" dimensionUniqueName="[billing]" displayFolder="" count="0" memberValueDatatype="130" unbalanced="0"/>
    <cacheHierarchy uniqueName="[customers__1].[customer_id]" caption="customer_id" attribute="1" defaultMemberUniqueName="[customers__1].[customer_id].[All]" allUniqueName="[customers__1].[customer_id].[All]" dimensionUniqueName="[customers__1]" displayFolder="" count="0" memberValueDatatype="130" unbalanced="0"/>
    <cacheHierarchy uniqueName="[customers__1].[customer_name]" caption="customer_name" attribute="1" defaultMemberUniqueName="[customers__1].[customer_name].[All]" allUniqueName="[customers__1].[customer_name].[All]" dimensionUniqueName="[customers__1]" displayFolder="" count="0" memberValueDatatype="130" unbalanced="0"/>
    <cacheHierarchy uniqueName="[customers__1].[region]" caption="region" attribute="1" defaultMemberUniqueName="[customers__1].[region].[All]" allUniqueName="[customers__1].[region].[All]" dimensionUniqueName="[customers__1]" displayFolder="" count="2" memberValueDatatype="130" unbalanced="0"/>
    <cacheHierarchy uniqueName="[customers__1].[account_type]" caption="account_type" attribute="1" defaultMemberUniqueName="[customers__1].[account_type].[All]" allUniqueName="[customers__1].[account_type].[All]" dimensionUniqueName="[customers__1]" displayFolder="" count="2" memberValueDatatype="130" unbalanced="0"/>
    <cacheHierarchy uniqueName="[customers__1].[join_date]" caption="join_date" attribute="1" time="1" defaultMemberUniqueName="[customers__1].[join_date].[All]" allUniqueName="[customers__1].[join_date].[All]" dimensionUniqueName="[customers__1]" displayFolder="" count="0" memberValueDatatype="7"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bill_id]" caption="bill_id" attribute="1" defaultMemberUniqueName="[payments].[bill_id].[All]" allUniqueName="[payments].[bill_id].[All]" dimensionUniqueName="[payments]" displayFolder="" count="0" memberValueDatatype="130" unbalanced="0"/>
    <cacheHierarchy uniqueName="[payments].[payment_status]" caption="payment_status" attribute="1" defaultMemberUniqueName="[payments].[payment_status].[All]" allUniqueName="[payments].[payment_status].[All]" dimensionUniqueName="[payments]" displayFolder="" count="2" memberValueDatatype="130"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ue_date]" caption="due_date" attribute="1" time="1" defaultMemberUniqueName="[payments].[due_date].[All]" allUniqueName="[payments].[due_date].[All]" dimensionUniqueName="[payments]" displayFolder="" count="0" memberValueDatatype="7" unbalanced="0"/>
    <cacheHierarchy uniqueName="[payments].[payment_date]" caption="payment_date" attribute="1" time="1" defaultMemberUniqueName="[payments].[payment_date].[All]" allUniqueName="[payments].[payment_date].[All]" dimensionUniqueName="[payments]" displayFolder="" count="0" memberValueDatatype="7" unbalanced="0"/>
    <cacheHierarchy uniqueName="[payments].[days_to_pay]" caption="days_to_pay" attribute="1" defaultMemberUniqueName="[payments].[days_to_pay].[All]" allUniqueName="[payments].[days_to_pay].[All]" dimensionUniqueName="[payments]" displayFolder="" count="0" memberValueDatatype="20" unbalanced="0"/>
    <cacheHierarchy uniqueName="[payments].[payment_flag]" caption="payment_flag" attribute="1" defaultMemberUniqueName="[payments].[payment_flag].[All]" allUniqueName="[payments].[payment_flag].[All]" dimensionUniqueName="[payments]" displayFolder="" count="0" memberValueDatatype="130" unbalanced="0"/>
    <cacheHierarchy uniqueName="[Measures].[__XL_Count billing]" caption="__XL_Count billing" measure="1" displayFolder="" measureGroup="billing" count="0" hidden="1"/>
    <cacheHierarchy uniqueName="[Measures].[__XL_Count customers__1]" caption="__XL_Count customers__1" measure="1" displayFolder="" measureGroup="customers__1" count="0" hidden="1"/>
    <cacheHierarchy uniqueName="[Measures].[__XL_Count payments]" caption="__XL_Count payments" measure="1" displayFolder="" measureGroup="payments" count="0" hidden="1"/>
    <cacheHierarchy uniqueName="[Measures].[__No measures defined]" caption="__No measures defined" measure="1" displayFolder="" count="0" hidden="1"/>
    <cacheHierarchy uniqueName="[Measures].[Sum of amount_billed]" caption="Sum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units_consumed]" caption="Sum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Sum of days_to_pay]" caption="Sum of days_to_pay" measure="1" displayFolder="" measureGroup="payments" count="0" hidden="1">
      <extLst>
        <ext xmlns:x15="http://schemas.microsoft.com/office/spreadsheetml/2010/11/main" uri="{B97F6D7D-B522-45F9-BDA1-12C45D357490}">
          <x15:cacheHierarchy aggregatedColumn="21"/>
        </ext>
      </extLst>
    </cacheHierarchy>
    <cacheHierarchy uniqueName="[Measures].[Average of days_to_pay]" caption="Average of days_to_pay" measure="1" displayFolder="" measureGroup="payments" count="0" hidden="1">
      <extLst>
        <ext xmlns:x15="http://schemas.microsoft.com/office/spreadsheetml/2010/11/main" uri="{B97F6D7D-B522-45F9-BDA1-12C45D357490}">
          <x15:cacheHierarchy aggregatedColumn="21"/>
        </ext>
      </extLst>
    </cacheHierarchy>
    <cacheHierarchy uniqueName="[Measures].[Sum of unit_rate]" caption="Sum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units_consumed]" caption="Average of units_consumed" measure="1" displayFolder="" measureGroup="billing" count="0" hidden="1">
      <extLst>
        <ext xmlns:x15="http://schemas.microsoft.com/office/spreadsheetml/2010/11/main" uri="{B97F6D7D-B522-45F9-BDA1-12C45D357490}">
          <x15:cacheHierarchy aggregatedColumn="6"/>
        </ext>
      </extLst>
    </cacheHierarchy>
    <cacheHierarchy uniqueName="[Measures].[Average of unit_rate]" caption="Average of unit_rate" measure="1" displayFolder="" measureGroup="billing" count="0" hidden="1">
      <extLst>
        <ext xmlns:x15="http://schemas.microsoft.com/office/spreadsheetml/2010/11/main" uri="{B97F6D7D-B522-45F9-BDA1-12C45D357490}">
          <x15:cacheHierarchy aggregatedColumn="7"/>
        </ext>
      </extLst>
    </cacheHierarchy>
    <cacheHierarchy uniqueName="[Measures].[Average of amount_billed]" caption="Average of amount_billed" measure="1" displayFolder="" measureGroup="billing" count="0" hidden="1">
      <extLst>
        <ext xmlns:x15="http://schemas.microsoft.com/office/spreadsheetml/2010/11/main" uri="{B97F6D7D-B522-45F9-BDA1-12C45D357490}">
          <x15:cacheHierarchy aggregatedColumn="8"/>
        </ext>
      </extLst>
    </cacheHierarchy>
    <cacheHierarchy uniqueName="[Measures].[Sum of amount_paid]" caption="Sum of amount_paid" measure="1" displayFolder="" measureGroup="payments" count="0" hidden="1">
      <extLst>
        <ext xmlns:x15="http://schemas.microsoft.com/office/spreadsheetml/2010/11/main" uri="{B97F6D7D-B522-45F9-BDA1-12C45D357490}">
          <x15:cacheHierarchy aggregatedColumn="18"/>
        </ext>
      </extLst>
    </cacheHierarchy>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15"/>
        </ext>
      </extLst>
    </cacheHierarchy>
    <cacheHierarchy uniqueName="[Measures].[Count of customer_id]" caption="Count of customer_id" measure="1" displayFolder="" measureGroup="customers__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39470300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FFA7B-7310-42C2-96EB-6F22AC29B944}" name="PivotTable1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H56:H5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ays_to_pay" fld="0" subtotal="average" baseField="0" baseItem="0" numFmtId="1"/>
  </dataFields>
  <formats count="1">
    <format dxfId="0">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caption="Average of days_to_pay"/>
    <pivotHierarchy dragToData="1"/>
    <pivotHierarchy dragToData="1"/>
    <pivotHierarchy dragToData="1"/>
    <pivotHierarchy dragToData="1"/>
    <pivotHierarchy dragToData="1" caption="Total Amount Pa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660E5-8B39-49F1-AF80-4061555DDE4E}" name="PivotTable3"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3">
  <location ref="E3:F1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4"/>
    </i>
    <i>
      <x v="1"/>
    </i>
    <i>
      <x v="6"/>
    </i>
    <i>
      <x v="3"/>
    </i>
    <i>
      <x v="5"/>
    </i>
    <i>
      <x v="7"/>
    </i>
    <i>
      <x v="2"/>
    </i>
    <i>
      <x/>
    </i>
    <i t="grand">
      <x/>
    </i>
  </rowItems>
  <colItems count="1">
    <i/>
  </colItems>
  <dataFields count="1">
    <dataField name="Total units consumed" fld="1" baseField="0" baseItem="0"/>
  </dataFields>
  <chartFormats count="5">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units consum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A47787-9C0C-4652-BD54-8D7E5158BFA8}"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38:K42"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Amount Billed" fld="0" baseField="0" baseItem="2084602736" numFmtId="165"/>
    <dataField name="Sum of amount_paid" fld="1" baseField="0" baseItem="0"/>
  </dataFields>
  <formats count="1">
    <format dxfId="1">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B606A-2BC0-4437-9BD4-F6FE211BB0C6}" name="PivotTable8"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K27:K2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mount Billed" fld="0" baseField="0" baseItem="2084602736" numFmtId="165"/>
  </dataFields>
  <formats count="1">
    <format dxfId="2">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00BD29-B4F2-4BB3-B170-D58CA84E7C72}" name="PivotTable1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61:A6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1301296176"/>
  </dataFields>
  <formats count="1">
    <format dxfId="3">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caption="Average of days_to_pay"/>
    <pivotHierarchy dragToData="1"/>
    <pivotHierarchy dragToData="1"/>
    <pivotHierarchy dragToData="1"/>
    <pivotHierarchy dragToData="1"/>
    <pivotHierarchy dragToData="1" caption="Total Amount Paid"/>
    <pivotHierarchy dragToData="1"/>
    <pivotHierarchy dragToData="1" caption="Total Customer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681221-69F1-45B3-9DEB-9DD75CF1A5C7}" name="PivotTable12"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I47:K5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Amount Billed" fld="0" baseField="0" baseItem="2084602736" numFmtId="165"/>
    <dataField name="Total amount_paid" fld="1" baseField="2" baseItem="0"/>
  </dataFields>
  <formats count="10">
    <format dxfId="13">
      <pivotArea outline="0" collapsedLevelsAreSubtotals="1" fieldPosition="0"/>
    </format>
    <format dxfId="12">
      <pivotArea collapsedLevelsAreSubtotals="1" fieldPosition="0">
        <references count="1">
          <reference field="2" count="1">
            <x v="2"/>
          </reference>
        </references>
      </pivotArea>
    </format>
    <format dxfId="11">
      <pivotArea dataOnly="0" labelOnly="1" fieldPosition="0">
        <references count="1">
          <reference field="2" count="1">
            <x v="2"/>
          </reference>
        </references>
      </pivotArea>
    </format>
    <format dxfId="10">
      <pivotArea collapsedLevelsAreSubtotals="1" fieldPosition="0">
        <references count="1">
          <reference field="2" count="1">
            <x v="1"/>
          </reference>
        </references>
      </pivotArea>
    </format>
    <format dxfId="9">
      <pivotArea dataOnly="0" labelOnly="1" fieldPosition="0">
        <references count="1">
          <reference field="2" count="1">
            <x v="1"/>
          </reference>
        </references>
      </pivotArea>
    </format>
    <format dxfId="8">
      <pivotArea collapsedLevelsAreSubtotals="1" fieldPosition="0">
        <references count="1">
          <reference field="2" count="1">
            <x v="1"/>
          </reference>
        </references>
      </pivotArea>
    </format>
    <format dxfId="7">
      <pivotArea dataOnly="0" labelOnly="1" fieldPosition="0">
        <references count="1">
          <reference field="2" count="1">
            <x v="1"/>
          </reference>
        </references>
      </pivotArea>
    </format>
    <format dxfId="6">
      <pivotArea dataOnly="0" fieldPosition="0">
        <references count="1">
          <reference field="2" count="1">
            <x v="1"/>
          </reference>
        </references>
      </pivotArea>
    </format>
    <format dxfId="5">
      <pivotArea dataOnly="0" fieldPosition="0">
        <references count="1">
          <reference field="2" count="1">
            <x v="0"/>
          </reference>
        </references>
      </pivotArea>
    </format>
    <format dxfId="4">
      <pivotArea dataOnly="0" fieldPosition="0">
        <references count="1">
          <reference field="2" count="1">
            <x v="2"/>
          </reference>
        </references>
      </pivotArea>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pivotHierarchy dragToData="1"/>
    <pivotHierarchy dragToData="1"/>
    <pivotHierarchy dragToData="1"/>
    <pivotHierarchy dragToData="1"/>
    <pivotHierarchy dragToData="1" caption="Total amount_paid"/>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6671F8-BEC0-4014-A249-DD81897C5ACC}" name="PivotTable9"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K32:K3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Amount Paid" fld="0" baseField="0" baseItem="901100032"/>
  </dataFields>
  <formats count="1">
    <format dxfId="14">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pivotHierarchy dragToData="1"/>
    <pivotHierarchy dragToData="1"/>
    <pivotHierarchy dragToData="1"/>
    <pivotHierarchy dragToData="1"/>
    <pivotHierarchy dragToData="1" caption="Total Amount Pa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B79556-B95B-4307-A7D2-D65F2A816A95}"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L17:M2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payment_id" fld="1" subtotal="count" baseField="0" baseItem="0"/>
  </dataFields>
  <chartFormats count="4">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0" count="1" selected="0">
            <x v="0"/>
          </reference>
        </references>
      </pivotArea>
    </chartFormat>
    <chartFormat chart="18" format="15">
      <pivotArea type="data" outline="0" fieldPosition="0">
        <references count="2">
          <reference field="4294967294" count="1" selected="0">
            <x v="0"/>
          </reference>
          <reference field="0" count="1" selected="0">
            <x v="1"/>
          </reference>
        </references>
      </pivotArea>
    </chartFormat>
    <chartFormat chart="18" format="16">
      <pivotArea type="data" outline="0" fieldPosition="0">
        <references count="2">
          <reference field="4294967294" count="1" selected="0">
            <x v="0"/>
          </reference>
          <reference field="0" count="1" selected="0">
            <x v="2"/>
          </reference>
        </references>
      </pivotArea>
    </chartFormat>
  </chart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mount_billed"/>
    <pivotHierarchy dragToData="1" caption="Total units consumed"/>
    <pivotHierarchy dragToData="1"/>
    <pivotHierarchy dragToData="1"/>
    <pivotHierarchy dragToData="1"/>
    <pivotHierarchy dragToData="1" caption="Average of units_consumed"/>
    <pivotHierarchy dragToData="1" caption="Average of unit_rate"/>
    <pivotHierarchy dragToData="1" caption="Average of amount_bill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6C67C3-4BC3-468A-A362-07487E16B69F}" name="PivotTable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B4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Row" allDrilled="1" subtotalTop="0" showAll="0"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2">
    <field x="0"/>
    <field x="2"/>
  </rowFields>
  <rowItems count="4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t="grand">
      <x/>
    </i>
  </rowItems>
  <colItems count="1">
    <i/>
  </colItems>
  <dataFields count="1">
    <dataField name="Sum of amount_billed" fld="1" baseField="0" baseItem="0"/>
  </dataFields>
  <chartFormats count="1">
    <chartFormat chart="6" format="4"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285B44-0CB4-4BEE-A349-6CC0BFFC03F5}" name="PivotTable6"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K3:M12" firstHeaderRow="0" firstDataRow="1" firstDataCol="1"/>
  <pivotFields count="4">
    <pivotField axis="axisRow" allDrilled="1" subtotalTop="0" showAll="0" defaultSubtotal="0" defaultAttributeDrillState="1">
      <items count="8">
        <item x="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Sum of amount_billed" fld="1" baseField="0" baseItem="0"/>
    <dataField name="Sum of amount_paid" fld="2" baseField="0" baseItem="0"/>
  </dataFields>
  <chartFormats count="2">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Sum of amount_billed"/>
    <pivotHierarchy dragToData="1" caption="Total units consumed"/>
    <pivotHierarchy dragToData="1"/>
    <pivotHierarchy dragToData="1"/>
    <pivotHierarchy dragToData="1"/>
    <pivotHierarchy dragToData="1" caption="Average of units_consumed"/>
    <pivotHierarchy dragToData="1" caption="Average of unit_rate"/>
    <pivotHierarchy dragToData="1" caption="Average of amount_bille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13330B-F0E3-4138-A862-52BFABD1F86C}"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E38:F39"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Total Amount Billed" fld="0" baseField="0" baseItem="2084602736" numFmtId="165"/>
    <dataField name="Sum of amount_paid" fld="1" baseField="0" baseItem="0"/>
  </dataFields>
  <formats count="1">
    <format dxfId="15">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0DA32C8-1FFF-4E21-AE0E-D55CD3D2C2E7}" name="PivotTable1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J56:K6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Average of days_to_pay" fld="0" subtotal="average" baseField="0" baseItem="0" numFmtId="1"/>
  </dataFields>
  <formats count="1">
    <format dxfId="16">
      <pivotArea outline="0" collapsedLevelsAreSubtotals="1" fieldPosition="0"/>
    </format>
  </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Amount Billed"/>
    <pivotHierarchy dragToData="1" caption="Total units consumed"/>
    <pivotHierarchy dragToData="1"/>
    <pivotHierarchy dragToData="1" caption="Average of days_to_pay"/>
    <pivotHierarchy dragToData="1"/>
    <pivotHierarchy dragToData="1"/>
    <pivotHierarchy dragToData="1"/>
    <pivotHierarchy dragToData="1"/>
    <pivotHierarchy dragToData="1" caption="Total Amount Paid"/>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32A4C6-1370-4449-A216-F2DE501A4424}" name="PivotTable4"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7">
  <location ref="E19:I29" firstHeaderRow="1" firstDataRow="2" firstDataCol="1" rowPageCount="1" colPageCount="1"/>
  <pivotFields count="7">
    <pivotField dataField="1" subtotalTop="0" showAll="0" defaultSubtotal="0"/>
    <pivotField axis="axisPage" allDrilled="1" subtotalTop="0" showAll="0" dataSourceSort="1" defaultSubtotal="0" defaultAttributeDrillState="1"/>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4"/>
  </rowFields>
  <rowItems count="9">
    <i>
      <x/>
    </i>
    <i>
      <x v="1"/>
    </i>
    <i>
      <x v="2"/>
    </i>
    <i>
      <x v="3"/>
    </i>
    <i>
      <x v="4"/>
    </i>
    <i>
      <x v="5"/>
    </i>
    <i>
      <x v="6"/>
    </i>
    <i>
      <x v="7"/>
    </i>
    <i t="grand">
      <x/>
    </i>
  </rowItems>
  <colFields count="1">
    <field x="5"/>
  </colFields>
  <colItems count="4">
    <i>
      <x/>
    </i>
    <i>
      <x v="1"/>
    </i>
    <i>
      <x v="2"/>
    </i>
    <i t="grand">
      <x/>
    </i>
  </colItems>
  <pageFields count="1">
    <pageField fld="1" hier="17" name="[payments].[payment_status].[All]" cap="All"/>
  </pageFields>
  <dataFields count="1">
    <dataField name="Average of days_to_pay" fld="0" subtotal="average" baseField="0" baseItem="0" numFmtId="1"/>
  </dataFields>
  <formats count="1">
    <format dxfId="17">
      <pivotArea outline="0" collapsedLevelsAreSubtotals="1" fieldPosition="0"/>
    </format>
  </formats>
  <chartFormats count="3">
    <chartFormat chart="13" format="12" series="1">
      <pivotArea type="data" outline="0" fieldPosition="0">
        <references count="2">
          <reference field="4294967294" count="1" selected="0">
            <x v="0"/>
          </reference>
          <reference field="5" count="1" selected="0">
            <x v="0"/>
          </reference>
        </references>
      </pivotArea>
    </chartFormat>
    <chartFormat chart="13" format="13" series="1">
      <pivotArea type="data" outline="0" fieldPosition="0">
        <references count="2">
          <reference field="4294967294" count="1" selected="0">
            <x v="0"/>
          </reference>
          <reference field="5" count="1" selected="0">
            <x v="1"/>
          </reference>
        </references>
      </pivotArea>
    </chartFormat>
    <chartFormat chart="13" format="14" series="1">
      <pivotArea type="data" outline="0" fieldPosition="0">
        <references count="2">
          <reference field="4294967294" count="1" selected="0">
            <x v="0"/>
          </reference>
          <reference field="5" count="1" selected="0">
            <x v="2"/>
          </reference>
        </references>
      </pivotArea>
    </chartFormat>
  </chartFormats>
  <pivotHierarchies count="38">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units consumed"/>
    <pivotHierarchy dragToData="1"/>
    <pivotHierarchy dragToData="1" caption="Average of days_to_pa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30">
      <autoFilter ref="A1">
        <filterColumn colId="0">
          <top10 val="10" filterVal="10"/>
        </filterColumn>
      </autoFilter>
    </filter>
  </filters>
  <rowHierarchiesUsage count="1">
    <rowHierarchyUsage hierarchyUsage="12"/>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illing]"/>
        <x15:activeTabTopLevelEntity name="[customers__1]"/>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CA4D713-95A3-4397-AFBB-CEE5BB2BC660}" autoFormatId="16" applyNumberFormats="0" applyBorderFormats="0" applyFontFormats="0" applyPatternFormats="0" applyAlignmentFormats="0" applyWidthHeightFormats="0">
  <queryTableRefresh nextId="6">
    <queryTableFields count="5">
      <queryTableField id="1" name="customer_id" tableColumnId="6"/>
      <queryTableField id="2" name="customer_name" tableColumnId="2"/>
      <queryTableField id="3" name="region" tableColumnId="3"/>
      <queryTableField id="4" name="account_type" tableColumnId="4"/>
      <queryTableField id="5" name="join_dat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B6B28447-B951-495B-A3AB-C29377D6BACD}" autoFormatId="16" applyNumberFormats="0" applyBorderFormats="0" applyFontFormats="0" applyPatternFormats="0" applyAlignmentFormats="0" applyWidthHeightFormats="0">
  <queryTableRefresh nextId="11">
    <queryTableFields count="10">
      <queryTableField id="1" name="bill_id" tableColumnId="11"/>
      <queryTableField id="2" name="customer_id" tableColumnId="2"/>
      <queryTableField id="3" name="utility_type" tableColumnId="3"/>
      <queryTableField id="4" name="billing_month" tableColumnId="4"/>
      <queryTableField id="5" name="billing_month.name" tableColumnId="5"/>
      <queryTableField id="6" name="billing_year" tableColumnId="6"/>
      <queryTableField id="7" name="units_consumed" tableColumnId="7"/>
      <queryTableField id="8" name="unit_rate" tableColumnId="8"/>
      <queryTableField id="9" name="amount_billed" tableColumnId="9"/>
      <queryTableField id="10" name="data_flag"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B16CB8D0-D7FC-45B5-B0FC-6ECEE340507D}" autoFormatId="16" applyNumberFormats="0" applyBorderFormats="0" applyFontFormats="0" applyPatternFormats="0" applyAlignmentFormats="0" applyWidthHeightFormats="0">
  <queryTableRefresh nextId="9">
    <queryTableFields count="8">
      <queryTableField id="1" name="payment_id" tableColumnId="9"/>
      <queryTableField id="2" name="bill_id" tableColumnId="2"/>
      <queryTableField id="3" name="payment_status" tableColumnId="3"/>
      <queryTableField id="4" name="amount_paid" tableColumnId="4"/>
      <queryTableField id="5" name="due_date" tableColumnId="5"/>
      <queryTableField id="6" name="payment_date" tableColumnId="6"/>
      <queryTableField id="7" name="days_to_pay" tableColumnId="7"/>
      <queryTableField id="8" name="payment_flag"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lling_year" xr10:uid="{8905C227-72F2-43D2-B3E8-BD3DBDA5AA4A}" sourceName="[billing].[billing_year]">
  <pivotTables>
    <pivotTable tabId="7" name="PivotTable3"/>
    <pivotTable tabId="7" name="PivotTable10"/>
    <pivotTable tabId="7" name="PivotTable11"/>
    <pivotTable tabId="7" name="PivotTable12"/>
    <pivotTable tabId="7" name="PivotTable13"/>
    <pivotTable tabId="7" name="PivotTable14"/>
    <pivotTable tabId="7" name="PivotTable15"/>
    <pivotTable tabId="7" name="PivotTable2"/>
    <pivotTable tabId="7" name="PivotTable4"/>
    <pivotTable tabId="7" name="PivotTable6"/>
    <pivotTable tabId="7" name="PivotTable7"/>
    <pivotTable tabId="7" name="PivotTable8"/>
    <pivotTable tabId="7" name="PivotTable9"/>
  </pivotTables>
  <data>
    <olap pivotCacheId="1394703007">
      <levels count="2">
        <level uniqueName="[billing].[billing_year].[(All)]" sourceCaption="(All)" count="0"/>
        <level uniqueName="[billing].[billing_year].[billing_year]" sourceCaption="billing_year" count="3">
          <ranges>
            <range startItem="0">
              <i n="[billing].[billing_year].&amp;[2022]" c="2022"/>
              <i n="[billing].[billing_year].&amp;[2023]" c="2023"/>
              <i n="[billing].[billing_year].&amp;[2024]" c="2024"/>
            </range>
          </ranges>
        </level>
      </levels>
      <selections count="1">
        <selection n="[billing].[billing_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tility_type" xr10:uid="{E5ED37D8-7E87-4838-BE7A-78735142ECE2}" sourceName="[billing].[utility_type]">
  <pivotTables>
    <pivotTable tabId="7" name="PivotTable7"/>
    <pivotTable tabId="7" name="PivotTable10"/>
    <pivotTable tabId="7" name="PivotTable11"/>
    <pivotTable tabId="7" name="PivotTable12"/>
    <pivotTable tabId="7" name="PivotTable13"/>
    <pivotTable tabId="7" name="PivotTable14"/>
    <pivotTable tabId="7" name="PivotTable15"/>
    <pivotTable tabId="7" name="PivotTable2"/>
    <pivotTable tabId="7" name="PivotTable3"/>
    <pivotTable tabId="7" name="PivotTable4"/>
    <pivotTable tabId="7" name="PivotTable6"/>
    <pivotTable tabId="7" name="PivotTable8"/>
    <pivotTable tabId="7" name="PivotTable9"/>
  </pivotTables>
  <data>
    <olap pivotCacheId="1394703007">
      <levels count="2">
        <level uniqueName="[billing].[utility_type].[(All)]" sourceCaption="(All)" count="0"/>
        <level uniqueName="[billing].[utility_type].[utility_type]" sourceCaption="utility_type" count="3">
          <ranges>
            <range startItem="0">
              <i n="[billing].[utility_type].&amp;[Electricity]" c="Electricity"/>
              <i n="[billing].[utility_type].&amp;[Gas]" c="Gas"/>
              <i n="[billing].[utility_type].&amp;[Water]" c="Water"/>
            </range>
          </ranges>
        </level>
      </levels>
      <selections count="1">
        <selection n="[billing].[utility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7A02F866-777E-486B-8185-727026E962FC}" sourceName="[payments].[payment_status]">
  <pivotTables>
    <pivotTable tabId="7" name="PivotTable7"/>
    <pivotTable tabId="7" name="PivotTable10"/>
    <pivotTable tabId="7" name="PivotTable11"/>
    <pivotTable tabId="7" name="PivotTable12"/>
    <pivotTable tabId="7" name="PivotTable13"/>
    <pivotTable tabId="7" name="PivotTable14"/>
    <pivotTable tabId="7" name="PivotTable15"/>
    <pivotTable tabId="7" name="PivotTable2"/>
    <pivotTable tabId="7" name="PivotTable3"/>
    <pivotTable tabId="7" name="PivotTable4"/>
    <pivotTable tabId="7" name="PivotTable6"/>
    <pivotTable tabId="7" name="PivotTable8"/>
    <pivotTable tabId="7" name="PivotTable9"/>
  </pivotTables>
  <data>
    <olap pivotCacheId="1394703007">
      <levels count="2">
        <level uniqueName="[payments].[payment_status].[(All)]" sourceCaption="(All)" count="0"/>
        <level uniqueName="[payments].[payment_status].[payment_status]" sourceCaption="payment_status" count="3">
          <ranges>
            <range startItem="0">
              <i n="[payments].[payment_status].&amp;[Paid]" c="Paid"/>
              <i n="[payments].[payment_status].&amp;[Partial]" c="Partial"/>
              <i n="[payments].[payment_status].&amp;[Unpaid]" c="Unpaid"/>
            </range>
          </ranges>
        </level>
      </levels>
      <selections count="1">
        <selection n="[payments].[payment_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C03B85-8D98-42E3-A370-9134DCEFAE5C}" sourceName="[customers__1].[region]">
  <pivotTables>
    <pivotTable tabId="7" name="PivotTable3"/>
    <pivotTable tabId="7" name="PivotTable10"/>
    <pivotTable tabId="7" name="PivotTable11"/>
    <pivotTable tabId="7" name="PivotTable12"/>
    <pivotTable tabId="7" name="PivotTable13"/>
    <pivotTable tabId="7" name="PivotTable14"/>
    <pivotTable tabId="7" name="PivotTable15"/>
    <pivotTable tabId="7" name="PivotTable2"/>
    <pivotTable tabId="7" name="PivotTable4"/>
    <pivotTable tabId="7" name="PivotTable6"/>
    <pivotTable tabId="7" name="PivotTable7"/>
    <pivotTable tabId="7" name="PivotTable8"/>
    <pivotTable tabId="7" name="PivotTable9"/>
  </pivotTables>
  <data>
    <olap pivotCacheId="1394703007">
      <levels count="2">
        <level uniqueName="[customers__1].[region].[(All)]" sourceCaption="(All)" count="0"/>
        <level uniqueName="[customers__1].[region].[region]" sourceCaption="region" count="8">
          <ranges>
            <range startItem="0">
              <i n="[customers__1].[region].&amp;[Birmingham]" c="Birmingham"/>
              <i n="[customers__1].[region].&amp;[Bristol]" c="Bristol"/>
              <i n="[customers__1].[region].&amp;[Edinburgh]" c="Edinburgh"/>
              <i n="[customers__1].[region].&amp;[Glasgow]" c="Glasgow"/>
              <i n="[customers__1].[region].&amp;[Leeds]" c="Leeds"/>
              <i n="[customers__1].[region].&amp;[London]" c="London"/>
              <i n="[customers__1].[region].&amp;[Manchester]" c="Manchester"/>
              <i n="[customers__1].[region].&amp;[Sheffield]" c="Sheffield"/>
            </range>
          </ranges>
        </level>
      </levels>
      <selections count="1">
        <selection n="[customers__1].[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13E61E6D-0E16-4D99-B00B-BB25C866E8E8}" sourceName="[customers__1].[account_type]">
  <pivotTables>
    <pivotTable tabId="7" name="PivotTable3"/>
    <pivotTable tabId="7" name="PivotTable10"/>
    <pivotTable tabId="7" name="PivotTable11"/>
    <pivotTable tabId="7" name="PivotTable12"/>
    <pivotTable tabId="7" name="PivotTable13"/>
    <pivotTable tabId="7" name="PivotTable14"/>
    <pivotTable tabId="7" name="PivotTable15"/>
    <pivotTable tabId="7" name="PivotTable2"/>
    <pivotTable tabId="7" name="PivotTable4"/>
    <pivotTable tabId="7" name="PivotTable6"/>
    <pivotTable tabId="7" name="PivotTable7"/>
    <pivotTable tabId="7" name="PivotTable8"/>
    <pivotTable tabId="7" name="PivotTable9"/>
  </pivotTables>
  <data>
    <olap pivotCacheId="1394703007">
      <levels count="2">
        <level uniqueName="[customers__1].[account_type].[(All)]" sourceCaption="(All)" count="0"/>
        <level uniqueName="[customers__1].[account_type].[account_type]" sourceCaption="account_type" count="3">
          <ranges>
            <range startItem="0">
              <i n="[customers__1].[account_type].&amp;[Commercial]" c="Commercial"/>
              <i n="[customers__1].[account_type].&amp;[Industrial]" c="Industrial"/>
              <i n="[customers__1].[account_type].&amp;[Residential]" c="Residential"/>
            </range>
          </ranges>
        </level>
      </levels>
      <selections count="1">
        <selection n="[customers__1].[account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46CF76C4-2369-4EE4-9D32-714B9AE18984}" cache="Slicer_billing_year" caption="Year" startItem="1" level="1" style="Slicer Style 6" rowHeight="241300"/>
  <slicer name="utility_type" xr10:uid="{3D516322-4B7A-4422-B86A-37C467602AB0}" cache="Slicer_utility_type" caption="Utility Type" startItem="2" level="1" style="Slicer Style 4" rowHeight="241300"/>
  <slicer name="payment_status" xr10:uid="{5BC5EB91-5989-4220-A12E-2A0D97380D45}" cache="Slicer_payment_status" caption="Payment Status" startItem="2" level="1" style="Slicer Style 5" rowHeight="241300"/>
  <slicer name="region" xr10:uid="{7304EF1C-4353-4818-9F73-3F43E65C2FA0}" cache="Slicer_region" caption="Region" startItem="7" level="1" style="Slicer Style 4" rowHeight="241300"/>
  <slicer name="account_type" xr10:uid="{12095249-AC83-4CD1-AD55-CF1EA4F5A0C3}" cache="Slicer_account_type" caption="Account Type" startItem="2" level="1" style="Slicer Style 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CFE4EA-BDF4-4EBB-935C-1542832CB42C}" name="customers__1" displayName="customers__1" ref="A1:E201" tableType="queryTable" totalsRowShown="0">
  <autoFilter ref="A1:E201" xr:uid="{13D3C641-06D8-4F66-9E83-70390A9ADE4F}"/>
  <tableColumns count="5">
    <tableColumn id="6" xr3:uid="{69A65FAF-7753-4A79-A24E-BF512AB7B400}" uniqueName="6" name="customer_id" queryTableFieldId="1"/>
    <tableColumn id="2" xr3:uid="{7B04A99A-E29C-4949-8733-A96BDA09588D}" uniqueName="2" name="customer_name" queryTableFieldId="2"/>
    <tableColumn id="3" xr3:uid="{DBCBF060-E136-4804-836F-3AB60A453E67}" uniqueName="3" name="region" queryTableFieldId="3"/>
    <tableColumn id="4" xr3:uid="{AE3008E9-99B8-4B0F-8E35-26B043D6C5B0}" uniqueName="4" name="account_type" queryTableFieldId="4"/>
    <tableColumn id="5" xr3:uid="{969BF500-4A89-4F4C-B88C-F0B53CF957FB}" uniqueName="5" name="join_date" queryTableFieldId="5" dataDxfId="20"/>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52CC22-6F4B-41CF-A7FE-E4838D2D50DE}" name="billing" displayName="billing" ref="A1:J1001" tableType="queryTable" totalsRowShown="0">
  <autoFilter ref="A1:J1001" xr:uid="{473F7297-4236-4917-A1DF-562721C1B575}"/>
  <tableColumns count="10">
    <tableColumn id="11" xr3:uid="{E7E1A59F-977C-4981-BD1B-2D1FE4B85CBA}" uniqueName="11" name="bill_id" queryTableFieldId="1"/>
    <tableColumn id="2" xr3:uid="{2454A11E-6313-4DFF-B387-724137C55F60}" uniqueName="2" name="customer_id" queryTableFieldId="2"/>
    <tableColumn id="3" xr3:uid="{9AAD7623-42AA-4AF1-8EEE-DF97E80D7917}" uniqueName="3" name="utility_type" queryTableFieldId="3"/>
    <tableColumn id="4" xr3:uid="{38C83B07-AEE2-40B2-8E9E-C957EE746EA2}" uniqueName="4" name="billing_month" queryTableFieldId="4"/>
    <tableColumn id="5" xr3:uid="{7F02C747-F28E-4AD0-BB79-E713885B7F88}" uniqueName="5" name="billing_month.name" queryTableFieldId="5"/>
    <tableColumn id="6" xr3:uid="{A99264F8-F8D1-4E8A-AD60-03270AF0CD87}" uniqueName="6" name="billing_year" queryTableFieldId="6"/>
    <tableColumn id="7" xr3:uid="{D90CAA56-E721-4B58-8584-3DB28238B1F6}" uniqueName="7" name="units_consumed" queryTableFieldId="7"/>
    <tableColumn id="8" xr3:uid="{D56E179E-C9C5-4869-BE2C-BCA98B069C97}" uniqueName="8" name="unit_rate" queryTableFieldId="8"/>
    <tableColumn id="9" xr3:uid="{F98B9873-8FD8-4D41-91B2-068CE876BEAC}" uniqueName="9" name="amount_billed" queryTableFieldId="9"/>
    <tableColumn id="10" xr3:uid="{051E03E8-E42F-4BED-B1BE-B8512CD2B9C2}" uniqueName="10" name="data_flag" queryTableFieldId="10"/>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ACB1B8E-4EC3-4D8E-BB43-7DACECE647C4}" name="payments" displayName="payments" ref="A1:H1001" tableType="queryTable" totalsRowShown="0">
  <autoFilter ref="A1:H1001" xr:uid="{AE60562D-FCCA-4750-B0DE-C212CFE3807B}"/>
  <tableColumns count="8">
    <tableColumn id="9" xr3:uid="{1BB4D41B-04AC-4B0C-B71B-5EF78AA6E9FF}" uniqueName="9" name="payment_id" queryTableFieldId="1"/>
    <tableColumn id="2" xr3:uid="{8D247FF2-36F4-41AA-84AF-5DD57BD8E76B}" uniqueName="2" name="bill_id" queryTableFieldId="2"/>
    <tableColumn id="3" xr3:uid="{349AD71C-0577-46DA-844A-FCAF0FDB5E32}" uniqueName="3" name="payment_status" queryTableFieldId="3"/>
    <tableColumn id="4" xr3:uid="{91BABBD8-F660-4926-BD7D-EC5F0342B0CE}" uniqueName="4" name="amount_paid" queryTableFieldId="4"/>
    <tableColumn id="5" xr3:uid="{076E704C-3D46-4894-BE71-40827C0F2FE0}" uniqueName="5" name="due_date" queryTableFieldId="5" dataDxfId="19"/>
    <tableColumn id="6" xr3:uid="{2C77E4E6-5DD7-408D-B1A4-05B1FE7BDFD0}" uniqueName="6" name="payment_date" queryTableFieldId="6" dataDxfId="18"/>
    <tableColumn id="7" xr3:uid="{C9C8AAFD-AB11-4A91-A9AB-5CFB90F0757E}" uniqueName="7" name="days_to_pay" queryTableFieldId="7"/>
    <tableColumn id="8" xr3:uid="{F360B86E-504B-478D-A6A4-9456C3A678E9}" uniqueName="8" name="payment_flag" queryTableFieldId="8"/>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19836-DB80-4AE2-8D3D-8A9319025177}">
  <dimension ref="A1:E201"/>
  <sheetViews>
    <sheetView topLeftCell="A2" workbookViewId="0">
      <selection activeCell="A2" sqref="A2"/>
    </sheetView>
  </sheetViews>
  <sheetFormatPr defaultRowHeight="14.5" x14ac:dyDescent="0.35"/>
  <cols>
    <col min="1" max="1" width="13.54296875" bestFit="1" customWidth="1"/>
    <col min="2" max="2" width="18.08984375" bestFit="1" customWidth="1"/>
    <col min="3" max="3" width="10.90625" bestFit="1" customWidth="1"/>
    <col min="4" max="4" width="14.453125" bestFit="1" customWidth="1"/>
    <col min="5" max="5" width="11.08984375" style="2" bestFit="1" customWidth="1"/>
  </cols>
  <sheetData>
    <row r="1" spans="1:5" x14ac:dyDescent="0.35">
      <c r="A1" s="1" t="s">
        <v>0</v>
      </c>
      <c r="B1" s="1" t="s">
        <v>1</v>
      </c>
      <c r="C1" s="1" t="s">
        <v>2</v>
      </c>
      <c r="D1" s="1" t="s">
        <v>3</v>
      </c>
      <c r="E1" s="2" t="s">
        <v>4</v>
      </c>
    </row>
    <row r="2" spans="1:5" x14ac:dyDescent="0.35">
      <c r="A2" s="1" t="s">
        <v>5</v>
      </c>
      <c r="B2" s="1" t="s">
        <v>6</v>
      </c>
      <c r="C2" s="1" t="s">
        <v>7</v>
      </c>
      <c r="D2" s="1" t="s">
        <v>8</v>
      </c>
      <c r="E2" s="2">
        <v>43226</v>
      </c>
    </row>
    <row r="3" spans="1:5" x14ac:dyDescent="0.35">
      <c r="A3" s="1" t="s">
        <v>9</v>
      </c>
      <c r="B3" s="1" t="s">
        <v>10</v>
      </c>
      <c r="C3" s="1" t="s">
        <v>11</v>
      </c>
      <c r="D3" s="1" t="s">
        <v>8</v>
      </c>
      <c r="E3" s="2">
        <v>43659</v>
      </c>
    </row>
    <row r="4" spans="1:5" x14ac:dyDescent="0.35">
      <c r="A4" s="1" t="s">
        <v>12</v>
      </c>
      <c r="B4" s="1" t="s">
        <v>13</v>
      </c>
      <c r="C4" s="1" t="s">
        <v>14</v>
      </c>
      <c r="D4" s="1" t="s">
        <v>8</v>
      </c>
      <c r="E4" s="2">
        <v>43945</v>
      </c>
    </row>
    <row r="5" spans="1:5" x14ac:dyDescent="0.35">
      <c r="A5" s="1" t="s">
        <v>15</v>
      </c>
      <c r="B5" s="1" t="s">
        <v>16</v>
      </c>
      <c r="C5" s="1" t="s">
        <v>7</v>
      </c>
      <c r="D5" s="1" t="s">
        <v>17</v>
      </c>
      <c r="E5" s="2">
        <v>44149</v>
      </c>
    </row>
    <row r="6" spans="1:5" x14ac:dyDescent="0.35">
      <c r="A6" s="1" t="s">
        <v>18</v>
      </c>
      <c r="B6" s="1" t="s">
        <v>19</v>
      </c>
      <c r="C6" s="1" t="s">
        <v>20</v>
      </c>
      <c r="D6" s="1" t="s">
        <v>8</v>
      </c>
      <c r="E6" s="2">
        <v>43803</v>
      </c>
    </row>
    <row r="7" spans="1:5" x14ac:dyDescent="0.35">
      <c r="A7" s="1" t="s">
        <v>21</v>
      </c>
      <c r="B7" s="1" t="s">
        <v>22</v>
      </c>
      <c r="C7" s="1" t="s">
        <v>7</v>
      </c>
      <c r="D7" s="1" t="s">
        <v>17</v>
      </c>
      <c r="E7" s="2">
        <v>44708</v>
      </c>
    </row>
    <row r="8" spans="1:5" x14ac:dyDescent="0.35">
      <c r="A8" s="1" t="s">
        <v>23</v>
      </c>
      <c r="B8" s="1" t="s">
        <v>24</v>
      </c>
      <c r="C8" s="1" t="s">
        <v>25</v>
      </c>
      <c r="D8" s="1" t="s">
        <v>17</v>
      </c>
      <c r="E8" s="2">
        <v>44874</v>
      </c>
    </row>
    <row r="9" spans="1:5" x14ac:dyDescent="0.35">
      <c r="A9" s="1" t="s">
        <v>26</v>
      </c>
      <c r="B9" s="1" t="s">
        <v>27</v>
      </c>
      <c r="C9" s="1" t="s">
        <v>25</v>
      </c>
      <c r="D9" s="1" t="s">
        <v>8</v>
      </c>
      <c r="E9" s="2">
        <v>43923</v>
      </c>
    </row>
    <row r="10" spans="1:5" x14ac:dyDescent="0.35">
      <c r="A10" s="1" t="s">
        <v>28</v>
      </c>
      <c r="B10" s="1" t="s">
        <v>29</v>
      </c>
      <c r="C10" s="1" t="s">
        <v>30</v>
      </c>
      <c r="D10" s="1" t="s">
        <v>31</v>
      </c>
      <c r="E10" s="2">
        <v>43207</v>
      </c>
    </row>
    <row r="11" spans="1:5" x14ac:dyDescent="0.35">
      <c r="A11" s="1" t="s">
        <v>32</v>
      </c>
      <c r="B11" s="1" t="s">
        <v>33</v>
      </c>
      <c r="C11" s="1" t="s">
        <v>34</v>
      </c>
      <c r="D11" s="1" t="s">
        <v>8</v>
      </c>
      <c r="E11" s="2">
        <v>43509</v>
      </c>
    </row>
    <row r="12" spans="1:5" x14ac:dyDescent="0.35">
      <c r="A12" s="1" t="s">
        <v>35</v>
      </c>
      <c r="B12" s="1" t="s">
        <v>36</v>
      </c>
      <c r="C12" s="1" t="s">
        <v>30</v>
      </c>
      <c r="D12" s="1" t="s">
        <v>31</v>
      </c>
      <c r="E12" s="2">
        <v>44752</v>
      </c>
    </row>
    <row r="13" spans="1:5" x14ac:dyDescent="0.35">
      <c r="A13" s="1" t="s">
        <v>37</v>
      </c>
      <c r="B13" s="1" t="s">
        <v>38</v>
      </c>
      <c r="C13" s="1" t="s">
        <v>30</v>
      </c>
      <c r="D13" s="1" t="s">
        <v>17</v>
      </c>
      <c r="E13" s="2">
        <v>43600</v>
      </c>
    </row>
    <row r="14" spans="1:5" x14ac:dyDescent="0.35">
      <c r="A14" s="1" t="s">
        <v>39</v>
      </c>
      <c r="B14" s="1" t="s">
        <v>40</v>
      </c>
      <c r="C14" s="1" t="s">
        <v>7</v>
      </c>
      <c r="D14" s="1" t="s">
        <v>17</v>
      </c>
      <c r="E14" s="2">
        <v>43772</v>
      </c>
    </row>
    <row r="15" spans="1:5" x14ac:dyDescent="0.35">
      <c r="A15" s="1" t="s">
        <v>41</v>
      </c>
      <c r="B15" s="1" t="s">
        <v>42</v>
      </c>
      <c r="C15" s="1" t="s">
        <v>30</v>
      </c>
      <c r="D15" s="1" t="s">
        <v>17</v>
      </c>
      <c r="E15" s="2">
        <v>43602</v>
      </c>
    </row>
    <row r="16" spans="1:5" x14ac:dyDescent="0.35">
      <c r="A16" s="1" t="s">
        <v>43</v>
      </c>
      <c r="B16" s="1" t="s">
        <v>44</v>
      </c>
      <c r="C16" s="1" t="s">
        <v>14</v>
      </c>
      <c r="D16" s="1" t="s">
        <v>8</v>
      </c>
      <c r="E16" s="2">
        <v>44564</v>
      </c>
    </row>
    <row r="17" spans="1:5" x14ac:dyDescent="0.35">
      <c r="A17" s="1" t="s">
        <v>45</v>
      </c>
      <c r="B17" s="1" t="s">
        <v>46</v>
      </c>
      <c r="C17" s="1" t="s">
        <v>30</v>
      </c>
      <c r="D17" s="1" t="s">
        <v>8</v>
      </c>
      <c r="E17" s="2">
        <v>44202</v>
      </c>
    </row>
    <row r="18" spans="1:5" x14ac:dyDescent="0.35">
      <c r="A18" s="1" t="s">
        <v>47</v>
      </c>
      <c r="B18" s="1" t="s">
        <v>48</v>
      </c>
      <c r="C18" s="1" t="s">
        <v>14</v>
      </c>
      <c r="D18" s="1" t="s">
        <v>8</v>
      </c>
      <c r="E18" s="2">
        <v>43549</v>
      </c>
    </row>
    <row r="19" spans="1:5" x14ac:dyDescent="0.35">
      <c r="A19" s="1" t="s">
        <v>49</v>
      </c>
      <c r="B19" s="1" t="s">
        <v>50</v>
      </c>
      <c r="C19" s="1" t="s">
        <v>51</v>
      </c>
      <c r="D19" s="1" t="s">
        <v>8</v>
      </c>
      <c r="E19" s="2">
        <v>44356</v>
      </c>
    </row>
    <row r="20" spans="1:5" x14ac:dyDescent="0.35">
      <c r="A20" s="1" t="s">
        <v>52</v>
      </c>
      <c r="B20" s="1" t="s">
        <v>53</v>
      </c>
      <c r="C20" s="1" t="s">
        <v>51</v>
      </c>
      <c r="D20" s="1" t="s">
        <v>8</v>
      </c>
      <c r="E20" s="2">
        <v>44391</v>
      </c>
    </row>
    <row r="21" spans="1:5" x14ac:dyDescent="0.35">
      <c r="A21" s="1" t="s">
        <v>54</v>
      </c>
      <c r="B21" s="1" t="s">
        <v>55</v>
      </c>
      <c r="C21" s="1" t="s">
        <v>25</v>
      </c>
      <c r="D21" s="1" t="s">
        <v>31</v>
      </c>
      <c r="E21" s="2">
        <v>44097</v>
      </c>
    </row>
    <row r="22" spans="1:5" x14ac:dyDescent="0.35">
      <c r="A22" s="1" t="s">
        <v>56</v>
      </c>
      <c r="B22" s="1" t="s">
        <v>57</v>
      </c>
      <c r="C22" s="1" t="s">
        <v>14</v>
      </c>
      <c r="D22" s="1" t="s">
        <v>8</v>
      </c>
      <c r="E22" s="2">
        <v>44488</v>
      </c>
    </row>
    <row r="23" spans="1:5" x14ac:dyDescent="0.35">
      <c r="A23" s="1" t="s">
        <v>58</v>
      </c>
      <c r="B23" s="1" t="s">
        <v>59</v>
      </c>
      <c r="C23" s="1" t="s">
        <v>11</v>
      </c>
      <c r="D23" s="1" t="s">
        <v>8</v>
      </c>
      <c r="E23" s="2">
        <v>43467</v>
      </c>
    </row>
    <row r="24" spans="1:5" x14ac:dyDescent="0.35">
      <c r="A24" s="1" t="s">
        <v>60</v>
      </c>
      <c r="B24" s="1" t="s">
        <v>61</v>
      </c>
      <c r="C24" s="1" t="s">
        <v>51</v>
      </c>
      <c r="D24" s="1" t="s">
        <v>8</v>
      </c>
      <c r="E24" s="2">
        <v>43198</v>
      </c>
    </row>
    <row r="25" spans="1:5" x14ac:dyDescent="0.35">
      <c r="A25" s="1" t="s">
        <v>62</v>
      </c>
      <c r="B25" s="1" t="s">
        <v>63</v>
      </c>
      <c r="C25" s="1" t="s">
        <v>7</v>
      </c>
      <c r="D25" s="1" t="s">
        <v>8</v>
      </c>
      <c r="E25" s="2">
        <v>43989</v>
      </c>
    </row>
    <row r="26" spans="1:5" x14ac:dyDescent="0.35">
      <c r="A26" s="1" t="s">
        <v>64</v>
      </c>
      <c r="B26" s="1" t="s">
        <v>65</v>
      </c>
      <c r="C26" s="1" t="s">
        <v>34</v>
      </c>
      <c r="D26" s="1" t="s">
        <v>8</v>
      </c>
      <c r="E26" s="2">
        <v>43593</v>
      </c>
    </row>
    <row r="27" spans="1:5" x14ac:dyDescent="0.35">
      <c r="A27" s="1" t="s">
        <v>66</v>
      </c>
      <c r="B27" s="1" t="s">
        <v>67</v>
      </c>
      <c r="C27" s="1" t="s">
        <v>25</v>
      </c>
      <c r="D27" s="1" t="s">
        <v>17</v>
      </c>
      <c r="E27" s="2">
        <v>43184</v>
      </c>
    </row>
    <row r="28" spans="1:5" x14ac:dyDescent="0.35">
      <c r="A28" s="1" t="s">
        <v>68</v>
      </c>
      <c r="B28" s="1" t="s">
        <v>69</v>
      </c>
      <c r="C28" s="1" t="s">
        <v>20</v>
      </c>
      <c r="D28" s="1" t="s">
        <v>17</v>
      </c>
      <c r="E28" s="2">
        <v>43468</v>
      </c>
    </row>
    <row r="29" spans="1:5" x14ac:dyDescent="0.35">
      <c r="A29" s="1" t="s">
        <v>70</v>
      </c>
      <c r="B29" s="1" t="s">
        <v>71</v>
      </c>
      <c r="C29" s="1" t="s">
        <v>7</v>
      </c>
      <c r="D29" s="1" t="s">
        <v>17</v>
      </c>
      <c r="E29" s="2">
        <v>43802</v>
      </c>
    </row>
    <row r="30" spans="1:5" x14ac:dyDescent="0.35">
      <c r="A30" s="1" t="s">
        <v>72</v>
      </c>
      <c r="B30" s="1" t="s">
        <v>73</v>
      </c>
      <c r="C30" s="1" t="s">
        <v>25</v>
      </c>
      <c r="D30" s="1" t="s">
        <v>31</v>
      </c>
      <c r="E30" s="2">
        <v>44314</v>
      </c>
    </row>
    <row r="31" spans="1:5" x14ac:dyDescent="0.35">
      <c r="A31" s="1" t="s">
        <v>74</v>
      </c>
      <c r="B31" s="1" t="s">
        <v>75</v>
      </c>
      <c r="C31" s="1" t="s">
        <v>34</v>
      </c>
      <c r="D31" s="1" t="s">
        <v>8</v>
      </c>
      <c r="E31" s="2">
        <v>44443</v>
      </c>
    </row>
    <row r="32" spans="1:5" x14ac:dyDescent="0.35">
      <c r="A32" s="1" t="s">
        <v>76</v>
      </c>
      <c r="B32" s="1" t="s">
        <v>77</v>
      </c>
      <c r="C32" s="1" t="s">
        <v>14</v>
      </c>
      <c r="D32" s="1" t="s">
        <v>17</v>
      </c>
      <c r="E32" s="2">
        <v>44084</v>
      </c>
    </row>
    <row r="33" spans="1:5" x14ac:dyDescent="0.35">
      <c r="A33" s="1" t="s">
        <v>78</v>
      </c>
      <c r="B33" s="1" t="s">
        <v>79</v>
      </c>
      <c r="C33" s="1" t="s">
        <v>7</v>
      </c>
      <c r="D33" s="1" t="s">
        <v>31</v>
      </c>
      <c r="E33" s="2">
        <v>43591</v>
      </c>
    </row>
    <row r="34" spans="1:5" x14ac:dyDescent="0.35">
      <c r="A34" s="1" t="s">
        <v>80</v>
      </c>
      <c r="B34" s="1" t="s">
        <v>81</v>
      </c>
      <c r="C34" s="1" t="s">
        <v>25</v>
      </c>
      <c r="D34" s="1" t="s">
        <v>17</v>
      </c>
      <c r="E34" s="2">
        <v>44314</v>
      </c>
    </row>
    <row r="35" spans="1:5" x14ac:dyDescent="0.35">
      <c r="A35" s="1" t="s">
        <v>82</v>
      </c>
      <c r="B35" s="1" t="s">
        <v>83</v>
      </c>
      <c r="C35" s="1" t="s">
        <v>20</v>
      </c>
      <c r="D35" s="1" t="s">
        <v>17</v>
      </c>
      <c r="E35" s="2">
        <v>43943</v>
      </c>
    </row>
    <row r="36" spans="1:5" x14ac:dyDescent="0.35">
      <c r="A36" s="1" t="s">
        <v>84</v>
      </c>
      <c r="B36" s="1" t="s">
        <v>10</v>
      </c>
      <c r="C36" s="1" t="s">
        <v>30</v>
      </c>
      <c r="D36" s="1" t="s">
        <v>17</v>
      </c>
      <c r="E36" s="2">
        <v>43425</v>
      </c>
    </row>
    <row r="37" spans="1:5" x14ac:dyDescent="0.35">
      <c r="A37" s="1" t="s">
        <v>85</v>
      </c>
      <c r="B37" s="1" t="s">
        <v>10</v>
      </c>
      <c r="C37" s="1" t="s">
        <v>34</v>
      </c>
      <c r="D37" s="1" t="s">
        <v>17</v>
      </c>
      <c r="E37" s="2">
        <v>43569</v>
      </c>
    </row>
    <row r="38" spans="1:5" x14ac:dyDescent="0.35">
      <c r="A38" s="1" t="s">
        <v>86</v>
      </c>
      <c r="B38" s="1" t="s">
        <v>87</v>
      </c>
      <c r="C38" s="1" t="s">
        <v>7</v>
      </c>
      <c r="D38" s="1" t="s">
        <v>8</v>
      </c>
      <c r="E38" s="2">
        <v>43389</v>
      </c>
    </row>
    <row r="39" spans="1:5" x14ac:dyDescent="0.35">
      <c r="A39" s="1" t="s">
        <v>88</v>
      </c>
      <c r="B39" s="1" t="s">
        <v>89</v>
      </c>
      <c r="C39" s="1" t="s">
        <v>20</v>
      </c>
      <c r="D39" s="1" t="s">
        <v>31</v>
      </c>
      <c r="E39" s="2">
        <v>43448</v>
      </c>
    </row>
    <row r="40" spans="1:5" x14ac:dyDescent="0.35">
      <c r="A40" s="1" t="s">
        <v>90</v>
      </c>
      <c r="B40" s="1" t="s">
        <v>91</v>
      </c>
      <c r="C40" s="1" t="s">
        <v>34</v>
      </c>
      <c r="D40" s="1" t="s">
        <v>8</v>
      </c>
      <c r="E40" s="2">
        <v>44489</v>
      </c>
    </row>
    <row r="41" spans="1:5" x14ac:dyDescent="0.35">
      <c r="A41" t="s">
        <v>92</v>
      </c>
      <c r="B41" t="s">
        <v>19</v>
      </c>
      <c r="C41" t="s">
        <v>7</v>
      </c>
      <c r="D41" t="s">
        <v>8</v>
      </c>
      <c r="E41" s="2">
        <v>43562</v>
      </c>
    </row>
    <row r="42" spans="1:5" x14ac:dyDescent="0.35">
      <c r="A42" t="s">
        <v>93</v>
      </c>
      <c r="B42" t="s">
        <v>94</v>
      </c>
      <c r="C42" t="s">
        <v>34</v>
      </c>
      <c r="D42" t="s">
        <v>17</v>
      </c>
      <c r="E42" s="2">
        <v>44618</v>
      </c>
    </row>
    <row r="43" spans="1:5" x14ac:dyDescent="0.35">
      <c r="A43" t="s">
        <v>95</v>
      </c>
      <c r="B43" t="s">
        <v>96</v>
      </c>
      <c r="C43" t="s">
        <v>51</v>
      </c>
      <c r="D43" t="s">
        <v>8</v>
      </c>
      <c r="E43" s="2">
        <v>43697</v>
      </c>
    </row>
    <row r="44" spans="1:5" x14ac:dyDescent="0.35">
      <c r="A44" t="s">
        <v>97</v>
      </c>
      <c r="B44" t="s">
        <v>98</v>
      </c>
      <c r="C44" t="s">
        <v>34</v>
      </c>
      <c r="D44" t="s">
        <v>31</v>
      </c>
      <c r="E44" s="2">
        <v>44035</v>
      </c>
    </row>
    <row r="45" spans="1:5" x14ac:dyDescent="0.35">
      <c r="A45" t="s">
        <v>99</v>
      </c>
      <c r="B45" t="s">
        <v>100</v>
      </c>
      <c r="C45" t="s">
        <v>30</v>
      </c>
      <c r="D45" t="s">
        <v>8</v>
      </c>
      <c r="E45" s="2">
        <v>43134</v>
      </c>
    </row>
    <row r="46" spans="1:5" x14ac:dyDescent="0.35">
      <c r="A46" t="s">
        <v>101</v>
      </c>
      <c r="B46" t="s">
        <v>102</v>
      </c>
      <c r="C46" t="s">
        <v>34</v>
      </c>
      <c r="D46" t="s">
        <v>8</v>
      </c>
      <c r="E46" s="2">
        <v>44462</v>
      </c>
    </row>
    <row r="47" spans="1:5" x14ac:dyDescent="0.35">
      <c r="A47" t="s">
        <v>103</v>
      </c>
      <c r="B47" t="s">
        <v>104</v>
      </c>
      <c r="C47" t="s">
        <v>20</v>
      </c>
      <c r="D47" t="s">
        <v>31</v>
      </c>
      <c r="E47" s="2">
        <v>44249</v>
      </c>
    </row>
    <row r="48" spans="1:5" x14ac:dyDescent="0.35">
      <c r="A48" t="s">
        <v>105</v>
      </c>
      <c r="B48" t="s">
        <v>91</v>
      </c>
      <c r="C48" t="s">
        <v>20</v>
      </c>
      <c r="D48" t="s">
        <v>8</v>
      </c>
      <c r="E48" s="2">
        <v>43813</v>
      </c>
    </row>
    <row r="49" spans="1:5" x14ac:dyDescent="0.35">
      <c r="A49" t="s">
        <v>106</v>
      </c>
      <c r="B49" t="s">
        <v>107</v>
      </c>
      <c r="C49" t="s">
        <v>11</v>
      </c>
      <c r="D49" t="s">
        <v>17</v>
      </c>
      <c r="E49" s="2">
        <v>43667</v>
      </c>
    </row>
    <row r="50" spans="1:5" x14ac:dyDescent="0.35">
      <c r="A50" t="s">
        <v>108</v>
      </c>
      <c r="B50" t="s">
        <v>109</v>
      </c>
      <c r="C50" t="s">
        <v>14</v>
      </c>
      <c r="D50" t="s">
        <v>31</v>
      </c>
      <c r="E50" s="2">
        <v>44152</v>
      </c>
    </row>
    <row r="51" spans="1:5" x14ac:dyDescent="0.35">
      <c r="A51" t="s">
        <v>110</v>
      </c>
      <c r="B51" t="s">
        <v>46</v>
      </c>
      <c r="C51" t="s">
        <v>51</v>
      </c>
      <c r="D51" t="s">
        <v>8</v>
      </c>
      <c r="E51" s="2">
        <v>44292</v>
      </c>
    </row>
    <row r="52" spans="1:5" x14ac:dyDescent="0.35">
      <c r="A52" t="s">
        <v>111</v>
      </c>
      <c r="B52" t="s">
        <v>112</v>
      </c>
      <c r="C52" t="s">
        <v>14</v>
      </c>
      <c r="D52" t="s">
        <v>31</v>
      </c>
      <c r="E52" s="2">
        <v>44237</v>
      </c>
    </row>
    <row r="53" spans="1:5" x14ac:dyDescent="0.35">
      <c r="A53" t="s">
        <v>113</v>
      </c>
      <c r="B53" t="s">
        <v>114</v>
      </c>
      <c r="C53" t="s">
        <v>20</v>
      </c>
      <c r="D53" t="s">
        <v>17</v>
      </c>
      <c r="E53" s="2">
        <v>43460</v>
      </c>
    </row>
    <row r="54" spans="1:5" x14ac:dyDescent="0.35">
      <c r="A54" t="s">
        <v>115</v>
      </c>
      <c r="B54" t="s">
        <v>116</v>
      </c>
      <c r="C54" t="s">
        <v>25</v>
      </c>
      <c r="D54" t="s">
        <v>8</v>
      </c>
      <c r="E54" s="2">
        <v>44327</v>
      </c>
    </row>
    <row r="55" spans="1:5" x14ac:dyDescent="0.35">
      <c r="A55" t="s">
        <v>117</v>
      </c>
      <c r="B55" t="s">
        <v>118</v>
      </c>
      <c r="C55" t="s">
        <v>30</v>
      </c>
      <c r="D55" t="s">
        <v>8</v>
      </c>
      <c r="E55" s="2">
        <v>44369</v>
      </c>
    </row>
    <row r="56" spans="1:5" x14ac:dyDescent="0.35">
      <c r="A56" t="s">
        <v>119</v>
      </c>
      <c r="B56" t="s">
        <v>120</v>
      </c>
      <c r="C56" t="s">
        <v>25</v>
      </c>
      <c r="D56" t="s">
        <v>8</v>
      </c>
      <c r="E56" s="2">
        <v>44047</v>
      </c>
    </row>
    <row r="57" spans="1:5" x14ac:dyDescent="0.35">
      <c r="A57" t="s">
        <v>121</v>
      </c>
      <c r="B57" t="s">
        <v>122</v>
      </c>
      <c r="C57" t="s">
        <v>14</v>
      </c>
      <c r="D57" t="s">
        <v>31</v>
      </c>
      <c r="E57" s="2">
        <v>44753</v>
      </c>
    </row>
    <row r="58" spans="1:5" x14ac:dyDescent="0.35">
      <c r="A58" t="s">
        <v>123</v>
      </c>
      <c r="B58" t="s">
        <v>124</v>
      </c>
      <c r="C58" t="s">
        <v>11</v>
      </c>
      <c r="D58" t="s">
        <v>31</v>
      </c>
      <c r="E58" s="2">
        <v>44032</v>
      </c>
    </row>
    <row r="59" spans="1:5" x14ac:dyDescent="0.35">
      <c r="A59" t="s">
        <v>125</v>
      </c>
      <c r="B59" t="s">
        <v>126</v>
      </c>
      <c r="C59" t="s">
        <v>25</v>
      </c>
      <c r="D59" t="s">
        <v>8</v>
      </c>
      <c r="E59" s="2">
        <v>43538</v>
      </c>
    </row>
    <row r="60" spans="1:5" x14ac:dyDescent="0.35">
      <c r="A60" t="s">
        <v>127</v>
      </c>
      <c r="B60" t="s">
        <v>128</v>
      </c>
      <c r="C60" t="s">
        <v>51</v>
      </c>
      <c r="D60" t="s">
        <v>17</v>
      </c>
      <c r="E60" s="2">
        <v>44235</v>
      </c>
    </row>
    <row r="61" spans="1:5" x14ac:dyDescent="0.35">
      <c r="A61" t="s">
        <v>129</v>
      </c>
      <c r="B61" t="s">
        <v>130</v>
      </c>
      <c r="C61" t="s">
        <v>11</v>
      </c>
      <c r="D61" t="s">
        <v>8</v>
      </c>
      <c r="E61" s="2">
        <v>43232</v>
      </c>
    </row>
    <row r="62" spans="1:5" x14ac:dyDescent="0.35">
      <c r="A62" t="s">
        <v>131</v>
      </c>
      <c r="B62" t="s">
        <v>132</v>
      </c>
      <c r="C62" t="s">
        <v>34</v>
      </c>
      <c r="D62" t="s">
        <v>8</v>
      </c>
      <c r="E62" s="2">
        <v>43666</v>
      </c>
    </row>
    <row r="63" spans="1:5" x14ac:dyDescent="0.35">
      <c r="A63" t="s">
        <v>133</v>
      </c>
      <c r="B63" t="s">
        <v>134</v>
      </c>
      <c r="C63" t="s">
        <v>30</v>
      </c>
      <c r="D63" t="s">
        <v>8</v>
      </c>
      <c r="E63" s="2">
        <v>43689</v>
      </c>
    </row>
    <row r="64" spans="1:5" x14ac:dyDescent="0.35">
      <c r="A64" t="s">
        <v>135</v>
      </c>
      <c r="B64" t="s">
        <v>136</v>
      </c>
      <c r="C64" t="s">
        <v>20</v>
      </c>
      <c r="D64" t="s">
        <v>8</v>
      </c>
      <c r="E64" s="2">
        <v>43962</v>
      </c>
    </row>
    <row r="65" spans="1:5" x14ac:dyDescent="0.35">
      <c r="A65" t="s">
        <v>137</v>
      </c>
      <c r="B65" t="s">
        <v>91</v>
      </c>
      <c r="C65" t="s">
        <v>7</v>
      </c>
      <c r="D65" t="s">
        <v>31</v>
      </c>
      <c r="E65" s="2">
        <v>43143</v>
      </c>
    </row>
    <row r="66" spans="1:5" x14ac:dyDescent="0.35">
      <c r="A66" t="s">
        <v>138</v>
      </c>
      <c r="B66" t="s">
        <v>139</v>
      </c>
      <c r="C66" t="s">
        <v>51</v>
      </c>
      <c r="D66" t="s">
        <v>8</v>
      </c>
      <c r="E66" s="2">
        <v>43748</v>
      </c>
    </row>
    <row r="67" spans="1:5" x14ac:dyDescent="0.35">
      <c r="A67" t="s">
        <v>140</v>
      </c>
      <c r="B67" t="s">
        <v>42</v>
      </c>
      <c r="C67" t="s">
        <v>20</v>
      </c>
      <c r="D67" t="s">
        <v>8</v>
      </c>
      <c r="E67" s="2">
        <v>44340</v>
      </c>
    </row>
    <row r="68" spans="1:5" x14ac:dyDescent="0.35">
      <c r="A68" t="s">
        <v>141</v>
      </c>
      <c r="B68" t="s">
        <v>142</v>
      </c>
      <c r="C68" t="s">
        <v>34</v>
      </c>
      <c r="D68" t="s">
        <v>31</v>
      </c>
      <c r="E68" s="2">
        <v>44262</v>
      </c>
    </row>
    <row r="69" spans="1:5" x14ac:dyDescent="0.35">
      <c r="A69" t="s">
        <v>143</v>
      </c>
      <c r="B69" t="s">
        <v>144</v>
      </c>
      <c r="C69" t="s">
        <v>11</v>
      </c>
      <c r="D69" t="s">
        <v>31</v>
      </c>
      <c r="E69" s="2">
        <v>43688</v>
      </c>
    </row>
    <row r="70" spans="1:5" x14ac:dyDescent="0.35">
      <c r="A70" t="s">
        <v>145</v>
      </c>
      <c r="B70" t="s">
        <v>146</v>
      </c>
      <c r="C70" t="s">
        <v>7</v>
      </c>
      <c r="D70" t="s">
        <v>8</v>
      </c>
      <c r="E70" s="2">
        <v>43285</v>
      </c>
    </row>
    <row r="71" spans="1:5" x14ac:dyDescent="0.35">
      <c r="A71" t="s">
        <v>147</v>
      </c>
      <c r="B71" t="s">
        <v>146</v>
      </c>
      <c r="C71" t="s">
        <v>25</v>
      </c>
      <c r="D71" t="s">
        <v>8</v>
      </c>
      <c r="E71" s="2">
        <v>43516</v>
      </c>
    </row>
    <row r="72" spans="1:5" x14ac:dyDescent="0.35">
      <c r="A72" t="s">
        <v>148</v>
      </c>
      <c r="B72" t="s">
        <v>149</v>
      </c>
      <c r="C72" t="s">
        <v>20</v>
      </c>
      <c r="D72" t="s">
        <v>8</v>
      </c>
      <c r="E72" s="2">
        <v>44281</v>
      </c>
    </row>
    <row r="73" spans="1:5" x14ac:dyDescent="0.35">
      <c r="A73" t="s">
        <v>150</v>
      </c>
      <c r="B73" t="s">
        <v>151</v>
      </c>
      <c r="C73" t="s">
        <v>30</v>
      </c>
      <c r="D73" t="s">
        <v>8</v>
      </c>
      <c r="E73" s="2">
        <v>44444</v>
      </c>
    </row>
    <row r="74" spans="1:5" x14ac:dyDescent="0.35">
      <c r="A74" t="s">
        <v>152</v>
      </c>
      <c r="B74" t="s">
        <v>153</v>
      </c>
      <c r="C74" t="s">
        <v>7</v>
      </c>
      <c r="D74" t="s">
        <v>8</v>
      </c>
      <c r="E74" s="2">
        <v>44398</v>
      </c>
    </row>
    <row r="75" spans="1:5" x14ac:dyDescent="0.35">
      <c r="A75" t="s">
        <v>154</v>
      </c>
      <c r="B75" t="s">
        <v>155</v>
      </c>
      <c r="C75" t="s">
        <v>25</v>
      </c>
      <c r="D75" t="s">
        <v>8</v>
      </c>
      <c r="E75" s="2">
        <v>44620</v>
      </c>
    </row>
    <row r="76" spans="1:5" x14ac:dyDescent="0.35">
      <c r="A76" t="s">
        <v>156</v>
      </c>
      <c r="B76" t="s">
        <v>157</v>
      </c>
      <c r="C76" t="s">
        <v>7</v>
      </c>
      <c r="D76" t="s">
        <v>8</v>
      </c>
      <c r="E76" s="2">
        <v>44580</v>
      </c>
    </row>
    <row r="77" spans="1:5" x14ac:dyDescent="0.35">
      <c r="A77" t="s">
        <v>158</v>
      </c>
      <c r="B77" t="s">
        <v>159</v>
      </c>
      <c r="C77" t="s">
        <v>11</v>
      </c>
      <c r="D77" t="s">
        <v>31</v>
      </c>
      <c r="E77" s="2">
        <v>44139</v>
      </c>
    </row>
    <row r="78" spans="1:5" x14ac:dyDescent="0.35">
      <c r="A78" t="s">
        <v>160</v>
      </c>
      <c r="B78" t="s">
        <v>19</v>
      </c>
      <c r="C78" t="s">
        <v>11</v>
      </c>
      <c r="D78" t="s">
        <v>8</v>
      </c>
      <c r="E78" s="2">
        <v>43664</v>
      </c>
    </row>
    <row r="79" spans="1:5" x14ac:dyDescent="0.35">
      <c r="A79" t="s">
        <v>161</v>
      </c>
      <c r="B79" t="s">
        <v>96</v>
      </c>
      <c r="C79" t="s">
        <v>11</v>
      </c>
      <c r="D79" t="s">
        <v>8</v>
      </c>
      <c r="E79" s="2">
        <v>43153</v>
      </c>
    </row>
    <row r="80" spans="1:5" x14ac:dyDescent="0.35">
      <c r="A80" t="s">
        <v>162</v>
      </c>
      <c r="B80" t="s">
        <v>13</v>
      </c>
      <c r="C80" t="s">
        <v>30</v>
      </c>
      <c r="D80" t="s">
        <v>31</v>
      </c>
      <c r="E80" s="2">
        <v>44099</v>
      </c>
    </row>
    <row r="81" spans="1:5" x14ac:dyDescent="0.35">
      <c r="A81" t="s">
        <v>163</v>
      </c>
      <c r="B81" t="s">
        <v>6</v>
      </c>
      <c r="C81" t="s">
        <v>25</v>
      </c>
      <c r="D81" t="s">
        <v>17</v>
      </c>
      <c r="E81" s="2">
        <v>44694</v>
      </c>
    </row>
    <row r="82" spans="1:5" x14ac:dyDescent="0.35">
      <c r="A82" t="s">
        <v>164</v>
      </c>
      <c r="B82" t="s">
        <v>165</v>
      </c>
      <c r="C82" t="s">
        <v>34</v>
      </c>
      <c r="D82" t="s">
        <v>17</v>
      </c>
      <c r="E82" s="2">
        <v>44583</v>
      </c>
    </row>
    <row r="83" spans="1:5" x14ac:dyDescent="0.35">
      <c r="A83" t="s">
        <v>166</v>
      </c>
      <c r="B83" t="s">
        <v>167</v>
      </c>
      <c r="C83" t="s">
        <v>25</v>
      </c>
      <c r="D83" t="s">
        <v>17</v>
      </c>
      <c r="E83" s="2">
        <v>44850</v>
      </c>
    </row>
    <row r="84" spans="1:5" x14ac:dyDescent="0.35">
      <c r="A84" t="s">
        <v>168</v>
      </c>
      <c r="B84" t="s">
        <v>55</v>
      </c>
      <c r="C84" t="s">
        <v>30</v>
      </c>
      <c r="D84" t="s">
        <v>8</v>
      </c>
      <c r="E84" s="2">
        <v>43271</v>
      </c>
    </row>
    <row r="85" spans="1:5" x14ac:dyDescent="0.35">
      <c r="A85" t="s">
        <v>169</v>
      </c>
      <c r="B85" t="s">
        <v>170</v>
      </c>
      <c r="C85" t="s">
        <v>25</v>
      </c>
      <c r="D85" t="s">
        <v>31</v>
      </c>
      <c r="E85" s="2">
        <v>43118</v>
      </c>
    </row>
    <row r="86" spans="1:5" x14ac:dyDescent="0.35">
      <c r="A86" t="s">
        <v>171</v>
      </c>
      <c r="B86" t="s">
        <v>172</v>
      </c>
      <c r="C86" t="s">
        <v>51</v>
      </c>
      <c r="D86" t="s">
        <v>31</v>
      </c>
      <c r="E86" s="2">
        <v>43996</v>
      </c>
    </row>
    <row r="87" spans="1:5" x14ac:dyDescent="0.35">
      <c r="A87" t="s">
        <v>173</v>
      </c>
      <c r="B87" t="s">
        <v>174</v>
      </c>
      <c r="C87" t="s">
        <v>20</v>
      </c>
      <c r="D87" t="s">
        <v>17</v>
      </c>
      <c r="E87" s="2">
        <v>44750</v>
      </c>
    </row>
    <row r="88" spans="1:5" x14ac:dyDescent="0.35">
      <c r="A88" t="s">
        <v>175</v>
      </c>
      <c r="B88" t="s">
        <v>176</v>
      </c>
      <c r="C88" t="s">
        <v>51</v>
      </c>
      <c r="D88" t="s">
        <v>8</v>
      </c>
      <c r="E88" s="2">
        <v>44318</v>
      </c>
    </row>
    <row r="89" spans="1:5" x14ac:dyDescent="0.35">
      <c r="A89" t="s">
        <v>177</v>
      </c>
      <c r="B89" t="s">
        <v>178</v>
      </c>
      <c r="C89" t="s">
        <v>7</v>
      </c>
      <c r="D89" t="s">
        <v>8</v>
      </c>
      <c r="E89" s="2">
        <v>43779</v>
      </c>
    </row>
    <row r="90" spans="1:5" x14ac:dyDescent="0.35">
      <c r="A90" t="s">
        <v>179</v>
      </c>
      <c r="B90" t="s">
        <v>180</v>
      </c>
      <c r="C90" t="s">
        <v>20</v>
      </c>
      <c r="D90" t="s">
        <v>8</v>
      </c>
      <c r="E90" s="2">
        <v>43411</v>
      </c>
    </row>
    <row r="91" spans="1:5" x14ac:dyDescent="0.35">
      <c r="A91" t="s">
        <v>181</v>
      </c>
      <c r="B91" t="s">
        <v>182</v>
      </c>
      <c r="C91" t="s">
        <v>30</v>
      </c>
      <c r="D91" t="s">
        <v>17</v>
      </c>
      <c r="E91" s="2">
        <v>44434</v>
      </c>
    </row>
    <row r="92" spans="1:5" x14ac:dyDescent="0.35">
      <c r="A92" t="s">
        <v>183</v>
      </c>
      <c r="B92" t="s">
        <v>184</v>
      </c>
      <c r="C92" t="s">
        <v>20</v>
      </c>
      <c r="D92" t="s">
        <v>8</v>
      </c>
      <c r="E92" s="2">
        <v>43620</v>
      </c>
    </row>
    <row r="93" spans="1:5" x14ac:dyDescent="0.35">
      <c r="A93" t="s">
        <v>185</v>
      </c>
      <c r="B93" t="s">
        <v>186</v>
      </c>
      <c r="C93" t="s">
        <v>51</v>
      </c>
      <c r="D93" t="s">
        <v>8</v>
      </c>
      <c r="E93" s="2">
        <v>43264</v>
      </c>
    </row>
    <row r="94" spans="1:5" x14ac:dyDescent="0.35">
      <c r="A94" t="s">
        <v>187</v>
      </c>
      <c r="B94" t="s">
        <v>44</v>
      </c>
      <c r="C94" t="s">
        <v>20</v>
      </c>
      <c r="D94" t="s">
        <v>17</v>
      </c>
      <c r="E94" s="2">
        <v>44421</v>
      </c>
    </row>
    <row r="95" spans="1:5" x14ac:dyDescent="0.35">
      <c r="A95" t="s">
        <v>188</v>
      </c>
      <c r="B95" t="s">
        <v>189</v>
      </c>
      <c r="C95" t="s">
        <v>30</v>
      </c>
      <c r="D95" t="s">
        <v>31</v>
      </c>
      <c r="E95" s="2">
        <v>43626</v>
      </c>
    </row>
    <row r="96" spans="1:5" x14ac:dyDescent="0.35">
      <c r="A96" t="s">
        <v>190</v>
      </c>
      <c r="B96" t="s">
        <v>112</v>
      </c>
      <c r="C96" t="s">
        <v>14</v>
      </c>
      <c r="D96" t="s">
        <v>31</v>
      </c>
      <c r="E96" s="2">
        <v>44369</v>
      </c>
    </row>
    <row r="97" spans="1:5" x14ac:dyDescent="0.35">
      <c r="A97" t="s">
        <v>191</v>
      </c>
      <c r="B97" t="s">
        <v>192</v>
      </c>
      <c r="C97" t="s">
        <v>14</v>
      </c>
      <c r="D97" t="s">
        <v>8</v>
      </c>
      <c r="E97" s="2">
        <v>43296</v>
      </c>
    </row>
    <row r="98" spans="1:5" x14ac:dyDescent="0.35">
      <c r="A98" t="s">
        <v>193</v>
      </c>
      <c r="B98" t="s">
        <v>63</v>
      </c>
      <c r="C98" t="s">
        <v>51</v>
      </c>
      <c r="D98" t="s">
        <v>31</v>
      </c>
      <c r="E98" s="2">
        <v>44153</v>
      </c>
    </row>
    <row r="99" spans="1:5" x14ac:dyDescent="0.35">
      <c r="A99" t="s">
        <v>194</v>
      </c>
      <c r="B99" t="s">
        <v>195</v>
      </c>
      <c r="C99" t="s">
        <v>11</v>
      </c>
      <c r="D99" t="s">
        <v>17</v>
      </c>
      <c r="E99" s="2">
        <v>44842</v>
      </c>
    </row>
    <row r="100" spans="1:5" x14ac:dyDescent="0.35">
      <c r="A100" t="s">
        <v>196</v>
      </c>
      <c r="B100" t="s">
        <v>197</v>
      </c>
      <c r="C100" t="s">
        <v>51</v>
      </c>
      <c r="D100" t="s">
        <v>8</v>
      </c>
      <c r="E100" s="2">
        <v>43277</v>
      </c>
    </row>
    <row r="101" spans="1:5" x14ac:dyDescent="0.35">
      <c r="A101" t="s">
        <v>198</v>
      </c>
      <c r="B101" t="s">
        <v>199</v>
      </c>
      <c r="C101" t="s">
        <v>7</v>
      </c>
      <c r="D101" t="s">
        <v>8</v>
      </c>
      <c r="E101" s="2">
        <v>43364</v>
      </c>
    </row>
    <row r="102" spans="1:5" x14ac:dyDescent="0.35">
      <c r="A102" t="s">
        <v>200</v>
      </c>
      <c r="B102" t="s">
        <v>201</v>
      </c>
      <c r="C102" t="s">
        <v>30</v>
      </c>
      <c r="D102" t="s">
        <v>17</v>
      </c>
      <c r="E102" s="2">
        <v>43875</v>
      </c>
    </row>
    <row r="103" spans="1:5" x14ac:dyDescent="0.35">
      <c r="A103" t="s">
        <v>202</v>
      </c>
      <c r="B103" t="s">
        <v>203</v>
      </c>
      <c r="C103" t="s">
        <v>30</v>
      </c>
      <c r="D103" t="s">
        <v>8</v>
      </c>
      <c r="E103" s="2">
        <v>44417</v>
      </c>
    </row>
    <row r="104" spans="1:5" x14ac:dyDescent="0.35">
      <c r="A104" t="s">
        <v>204</v>
      </c>
      <c r="B104" t="s">
        <v>205</v>
      </c>
      <c r="C104" t="s">
        <v>51</v>
      </c>
      <c r="D104" t="s">
        <v>8</v>
      </c>
      <c r="E104" s="2">
        <v>44283</v>
      </c>
    </row>
    <row r="105" spans="1:5" x14ac:dyDescent="0.35">
      <c r="A105" t="s">
        <v>206</v>
      </c>
      <c r="B105" t="s">
        <v>207</v>
      </c>
      <c r="C105" t="s">
        <v>51</v>
      </c>
      <c r="D105" t="s">
        <v>17</v>
      </c>
      <c r="E105" s="2">
        <v>44106</v>
      </c>
    </row>
    <row r="106" spans="1:5" x14ac:dyDescent="0.35">
      <c r="A106" t="s">
        <v>208</v>
      </c>
      <c r="B106" t="s">
        <v>209</v>
      </c>
      <c r="C106" t="s">
        <v>7</v>
      </c>
      <c r="D106" t="s">
        <v>31</v>
      </c>
      <c r="E106" s="2">
        <v>43187</v>
      </c>
    </row>
    <row r="107" spans="1:5" x14ac:dyDescent="0.35">
      <c r="A107" t="s">
        <v>210</v>
      </c>
      <c r="B107" t="s">
        <v>91</v>
      </c>
      <c r="C107" t="s">
        <v>11</v>
      </c>
      <c r="D107" t="s">
        <v>31</v>
      </c>
      <c r="E107" s="2">
        <v>43261</v>
      </c>
    </row>
    <row r="108" spans="1:5" x14ac:dyDescent="0.35">
      <c r="A108" t="s">
        <v>211</v>
      </c>
      <c r="B108" t="s">
        <v>38</v>
      </c>
      <c r="C108" t="s">
        <v>51</v>
      </c>
      <c r="D108" t="s">
        <v>31</v>
      </c>
      <c r="E108" s="2">
        <v>44556</v>
      </c>
    </row>
    <row r="109" spans="1:5" x14ac:dyDescent="0.35">
      <c r="A109" t="s">
        <v>212</v>
      </c>
      <c r="B109" t="s">
        <v>213</v>
      </c>
      <c r="C109" t="s">
        <v>20</v>
      </c>
      <c r="D109" t="s">
        <v>17</v>
      </c>
      <c r="E109" s="2">
        <v>43276</v>
      </c>
    </row>
    <row r="110" spans="1:5" x14ac:dyDescent="0.35">
      <c r="A110" t="s">
        <v>214</v>
      </c>
      <c r="B110" t="s">
        <v>215</v>
      </c>
      <c r="C110" t="s">
        <v>34</v>
      </c>
      <c r="D110" t="s">
        <v>17</v>
      </c>
      <c r="E110" s="2">
        <v>43324</v>
      </c>
    </row>
    <row r="111" spans="1:5" x14ac:dyDescent="0.35">
      <c r="A111" t="s">
        <v>216</v>
      </c>
      <c r="B111" t="s">
        <v>65</v>
      </c>
      <c r="C111" t="s">
        <v>11</v>
      </c>
      <c r="D111" t="s">
        <v>17</v>
      </c>
      <c r="E111" s="2">
        <v>43878</v>
      </c>
    </row>
    <row r="112" spans="1:5" x14ac:dyDescent="0.35">
      <c r="A112" t="s">
        <v>217</v>
      </c>
      <c r="B112" t="s">
        <v>218</v>
      </c>
      <c r="C112" t="s">
        <v>7</v>
      </c>
      <c r="D112" t="s">
        <v>8</v>
      </c>
      <c r="E112" s="2">
        <v>43406</v>
      </c>
    </row>
    <row r="113" spans="1:5" x14ac:dyDescent="0.35">
      <c r="A113" t="s">
        <v>219</v>
      </c>
      <c r="B113" t="s">
        <v>220</v>
      </c>
      <c r="C113" t="s">
        <v>14</v>
      </c>
      <c r="D113" t="s">
        <v>31</v>
      </c>
      <c r="E113" s="2">
        <v>44851</v>
      </c>
    </row>
    <row r="114" spans="1:5" x14ac:dyDescent="0.35">
      <c r="A114" t="s">
        <v>221</v>
      </c>
      <c r="B114" t="s">
        <v>222</v>
      </c>
      <c r="C114" t="s">
        <v>7</v>
      </c>
      <c r="D114" t="s">
        <v>31</v>
      </c>
      <c r="E114" s="2">
        <v>44814</v>
      </c>
    </row>
    <row r="115" spans="1:5" x14ac:dyDescent="0.35">
      <c r="A115" t="s">
        <v>223</v>
      </c>
      <c r="B115" t="s">
        <v>224</v>
      </c>
      <c r="C115" t="s">
        <v>7</v>
      </c>
      <c r="D115" t="s">
        <v>8</v>
      </c>
      <c r="E115" s="2">
        <v>44112</v>
      </c>
    </row>
    <row r="116" spans="1:5" x14ac:dyDescent="0.35">
      <c r="A116" t="s">
        <v>225</v>
      </c>
      <c r="B116" t="s">
        <v>226</v>
      </c>
      <c r="C116" t="s">
        <v>30</v>
      </c>
      <c r="D116" t="s">
        <v>8</v>
      </c>
      <c r="E116" s="2">
        <v>43424</v>
      </c>
    </row>
    <row r="117" spans="1:5" x14ac:dyDescent="0.35">
      <c r="A117" t="s">
        <v>227</v>
      </c>
      <c r="B117" t="s">
        <v>228</v>
      </c>
      <c r="C117" t="s">
        <v>25</v>
      </c>
      <c r="D117" t="s">
        <v>17</v>
      </c>
      <c r="E117" s="2">
        <v>43510</v>
      </c>
    </row>
    <row r="118" spans="1:5" x14ac:dyDescent="0.35">
      <c r="A118" t="s">
        <v>229</v>
      </c>
      <c r="B118" t="s">
        <v>230</v>
      </c>
      <c r="C118" t="s">
        <v>20</v>
      </c>
      <c r="D118" t="s">
        <v>17</v>
      </c>
      <c r="E118" s="2">
        <v>43747</v>
      </c>
    </row>
    <row r="119" spans="1:5" x14ac:dyDescent="0.35">
      <c r="A119" t="s">
        <v>231</v>
      </c>
      <c r="B119" t="s">
        <v>232</v>
      </c>
      <c r="C119" t="s">
        <v>34</v>
      </c>
      <c r="D119" t="s">
        <v>8</v>
      </c>
      <c r="E119" s="2">
        <v>43869</v>
      </c>
    </row>
    <row r="120" spans="1:5" x14ac:dyDescent="0.35">
      <c r="A120" t="s">
        <v>233</v>
      </c>
      <c r="B120" t="s">
        <v>234</v>
      </c>
      <c r="C120" t="s">
        <v>14</v>
      </c>
      <c r="D120" t="s">
        <v>17</v>
      </c>
      <c r="E120" s="2">
        <v>43425</v>
      </c>
    </row>
    <row r="121" spans="1:5" x14ac:dyDescent="0.35">
      <c r="A121" t="s">
        <v>235</v>
      </c>
      <c r="B121" t="s">
        <v>236</v>
      </c>
      <c r="C121" t="s">
        <v>20</v>
      </c>
      <c r="D121" t="s">
        <v>31</v>
      </c>
      <c r="E121" s="2">
        <v>44193</v>
      </c>
    </row>
    <row r="122" spans="1:5" x14ac:dyDescent="0.35">
      <c r="A122" t="s">
        <v>237</v>
      </c>
      <c r="B122" t="s">
        <v>238</v>
      </c>
      <c r="C122" t="s">
        <v>34</v>
      </c>
      <c r="D122" t="s">
        <v>31</v>
      </c>
      <c r="E122" s="2">
        <v>44428</v>
      </c>
    </row>
    <row r="123" spans="1:5" x14ac:dyDescent="0.35">
      <c r="A123" t="s">
        <v>239</v>
      </c>
      <c r="B123" t="s">
        <v>240</v>
      </c>
      <c r="C123" t="s">
        <v>11</v>
      </c>
      <c r="D123" t="s">
        <v>17</v>
      </c>
      <c r="E123" s="2">
        <v>44113</v>
      </c>
    </row>
    <row r="124" spans="1:5" x14ac:dyDescent="0.35">
      <c r="A124" t="s">
        <v>241</v>
      </c>
      <c r="B124" t="s">
        <v>130</v>
      </c>
      <c r="C124" t="s">
        <v>30</v>
      </c>
      <c r="D124" t="s">
        <v>8</v>
      </c>
      <c r="E124" s="2">
        <v>43603</v>
      </c>
    </row>
    <row r="125" spans="1:5" x14ac:dyDescent="0.35">
      <c r="A125" t="s">
        <v>242</v>
      </c>
      <c r="B125" t="s">
        <v>243</v>
      </c>
      <c r="C125" t="s">
        <v>7</v>
      </c>
      <c r="D125" t="s">
        <v>8</v>
      </c>
      <c r="E125" s="2">
        <v>43751</v>
      </c>
    </row>
    <row r="126" spans="1:5" x14ac:dyDescent="0.35">
      <c r="A126" t="s">
        <v>244</v>
      </c>
      <c r="B126" t="s">
        <v>220</v>
      </c>
      <c r="C126" t="s">
        <v>14</v>
      </c>
      <c r="D126" t="s">
        <v>8</v>
      </c>
      <c r="E126" s="2">
        <v>43607</v>
      </c>
    </row>
    <row r="127" spans="1:5" x14ac:dyDescent="0.35">
      <c r="A127" t="s">
        <v>245</v>
      </c>
      <c r="B127" t="s">
        <v>246</v>
      </c>
      <c r="C127" t="s">
        <v>30</v>
      </c>
      <c r="D127" t="s">
        <v>31</v>
      </c>
      <c r="E127" s="2">
        <v>44549</v>
      </c>
    </row>
    <row r="128" spans="1:5" x14ac:dyDescent="0.35">
      <c r="A128" t="s">
        <v>247</v>
      </c>
      <c r="B128" t="s">
        <v>248</v>
      </c>
      <c r="C128" t="s">
        <v>20</v>
      </c>
      <c r="D128" t="s">
        <v>17</v>
      </c>
      <c r="E128" s="2">
        <v>44536</v>
      </c>
    </row>
    <row r="129" spans="1:5" x14ac:dyDescent="0.35">
      <c r="A129" t="s">
        <v>249</v>
      </c>
      <c r="B129" t="s">
        <v>139</v>
      </c>
      <c r="C129" t="s">
        <v>14</v>
      </c>
      <c r="D129" t="s">
        <v>31</v>
      </c>
      <c r="E129" s="2">
        <v>43809</v>
      </c>
    </row>
    <row r="130" spans="1:5" x14ac:dyDescent="0.35">
      <c r="A130" t="s">
        <v>250</v>
      </c>
      <c r="B130" t="s">
        <v>230</v>
      </c>
      <c r="C130" t="s">
        <v>25</v>
      </c>
      <c r="D130" t="s">
        <v>31</v>
      </c>
      <c r="E130" s="2">
        <v>43183</v>
      </c>
    </row>
    <row r="131" spans="1:5" x14ac:dyDescent="0.35">
      <c r="A131" t="s">
        <v>251</v>
      </c>
      <c r="B131" t="s">
        <v>252</v>
      </c>
      <c r="C131" t="s">
        <v>30</v>
      </c>
      <c r="D131" t="s">
        <v>8</v>
      </c>
      <c r="E131" s="2">
        <v>43558</v>
      </c>
    </row>
    <row r="132" spans="1:5" x14ac:dyDescent="0.35">
      <c r="A132" t="s">
        <v>253</v>
      </c>
      <c r="B132" t="s">
        <v>254</v>
      </c>
      <c r="C132" t="s">
        <v>51</v>
      </c>
      <c r="D132" t="s">
        <v>17</v>
      </c>
      <c r="E132" s="2">
        <v>43560</v>
      </c>
    </row>
    <row r="133" spans="1:5" x14ac:dyDescent="0.35">
      <c r="A133" t="s">
        <v>255</v>
      </c>
      <c r="B133" t="s">
        <v>256</v>
      </c>
      <c r="C133" t="s">
        <v>30</v>
      </c>
      <c r="D133" t="s">
        <v>17</v>
      </c>
      <c r="E133" s="2">
        <v>44102</v>
      </c>
    </row>
    <row r="134" spans="1:5" x14ac:dyDescent="0.35">
      <c r="A134" t="s">
        <v>257</v>
      </c>
      <c r="B134" t="s">
        <v>258</v>
      </c>
      <c r="C134" t="s">
        <v>20</v>
      </c>
      <c r="D134" t="s">
        <v>31</v>
      </c>
      <c r="E134" s="2">
        <v>43988</v>
      </c>
    </row>
    <row r="135" spans="1:5" x14ac:dyDescent="0.35">
      <c r="A135" t="s">
        <v>259</v>
      </c>
      <c r="B135" t="s">
        <v>144</v>
      </c>
      <c r="C135" t="s">
        <v>20</v>
      </c>
      <c r="D135" t="s">
        <v>17</v>
      </c>
      <c r="E135" s="2">
        <v>44813</v>
      </c>
    </row>
    <row r="136" spans="1:5" x14ac:dyDescent="0.35">
      <c r="A136" t="s">
        <v>260</v>
      </c>
      <c r="B136" t="s">
        <v>261</v>
      </c>
      <c r="C136" t="s">
        <v>14</v>
      </c>
      <c r="D136" t="s">
        <v>8</v>
      </c>
      <c r="E136" s="2">
        <v>43880</v>
      </c>
    </row>
    <row r="137" spans="1:5" x14ac:dyDescent="0.35">
      <c r="A137" t="s">
        <v>262</v>
      </c>
      <c r="B137" t="s">
        <v>199</v>
      </c>
      <c r="C137" t="s">
        <v>30</v>
      </c>
      <c r="D137" t="s">
        <v>8</v>
      </c>
      <c r="E137" s="2">
        <v>43383</v>
      </c>
    </row>
    <row r="138" spans="1:5" x14ac:dyDescent="0.35">
      <c r="A138" t="s">
        <v>263</v>
      </c>
      <c r="B138" t="s">
        <v>264</v>
      </c>
      <c r="C138" t="s">
        <v>7</v>
      </c>
      <c r="D138" t="s">
        <v>31</v>
      </c>
      <c r="E138" s="2">
        <v>44724</v>
      </c>
    </row>
    <row r="139" spans="1:5" x14ac:dyDescent="0.35">
      <c r="A139" t="s">
        <v>265</v>
      </c>
      <c r="B139" t="s">
        <v>266</v>
      </c>
      <c r="C139" t="s">
        <v>7</v>
      </c>
      <c r="D139" t="s">
        <v>31</v>
      </c>
      <c r="E139" s="2">
        <v>43971</v>
      </c>
    </row>
    <row r="140" spans="1:5" x14ac:dyDescent="0.35">
      <c r="A140" t="s">
        <v>267</v>
      </c>
      <c r="B140" t="s">
        <v>100</v>
      </c>
      <c r="C140" t="s">
        <v>14</v>
      </c>
      <c r="D140" t="s">
        <v>31</v>
      </c>
      <c r="E140" s="2">
        <v>44311</v>
      </c>
    </row>
    <row r="141" spans="1:5" x14ac:dyDescent="0.35">
      <c r="A141" t="s">
        <v>268</v>
      </c>
      <c r="B141" t="s">
        <v>269</v>
      </c>
      <c r="C141" t="s">
        <v>7</v>
      </c>
      <c r="D141" t="s">
        <v>8</v>
      </c>
      <c r="E141" s="2">
        <v>44017</v>
      </c>
    </row>
    <row r="142" spans="1:5" x14ac:dyDescent="0.35">
      <c r="A142" t="s">
        <v>270</v>
      </c>
      <c r="B142" t="s">
        <v>271</v>
      </c>
      <c r="C142" t="s">
        <v>25</v>
      </c>
      <c r="D142" t="s">
        <v>31</v>
      </c>
      <c r="E142" s="2">
        <v>43176</v>
      </c>
    </row>
    <row r="143" spans="1:5" x14ac:dyDescent="0.35">
      <c r="A143" t="s">
        <v>272</v>
      </c>
      <c r="B143" t="s">
        <v>264</v>
      </c>
      <c r="C143" t="s">
        <v>30</v>
      </c>
      <c r="D143" t="s">
        <v>8</v>
      </c>
      <c r="E143" s="2">
        <v>44774</v>
      </c>
    </row>
    <row r="144" spans="1:5" x14ac:dyDescent="0.35">
      <c r="A144" t="s">
        <v>273</v>
      </c>
      <c r="B144" t="s">
        <v>205</v>
      </c>
      <c r="C144" t="s">
        <v>34</v>
      </c>
      <c r="D144" t="s">
        <v>17</v>
      </c>
      <c r="E144" s="2">
        <v>43857</v>
      </c>
    </row>
    <row r="145" spans="1:5" x14ac:dyDescent="0.35">
      <c r="A145" t="s">
        <v>274</v>
      </c>
      <c r="B145" t="s">
        <v>275</v>
      </c>
      <c r="C145" t="s">
        <v>7</v>
      </c>
      <c r="D145" t="s">
        <v>8</v>
      </c>
      <c r="E145" s="2">
        <v>44532</v>
      </c>
    </row>
    <row r="146" spans="1:5" x14ac:dyDescent="0.35">
      <c r="A146" t="s">
        <v>276</v>
      </c>
      <c r="B146" t="s">
        <v>238</v>
      </c>
      <c r="C146" t="s">
        <v>7</v>
      </c>
      <c r="D146" t="s">
        <v>8</v>
      </c>
      <c r="E146" s="2">
        <v>43745</v>
      </c>
    </row>
    <row r="147" spans="1:5" x14ac:dyDescent="0.35">
      <c r="A147" t="s">
        <v>277</v>
      </c>
      <c r="B147" t="s">
        <v>278</v>
      </c>
      <c r="C147" t="s">
        <v>14</v>
      </c>
      <c r="D147" t="s">
        <v>8</v>
      </c>
      <c r="E147" s="2">
        <v>43865</v>
      </c>
    </row>
    <row r="148" spans="1:5" x14ac:dyDescent="0.35">
      <c r="A148" t="s">
        <v>279</v>
      </c>
      <c r="B148" t="s">
        <v>280</v>
      </c>
      <c r="C148" t="s">
        <v>14</v>
      </c>
      <c r="D148" t="s">
        <v>31</v>
      </c>
      <c r="E148" s="2">
        <v>44364</v>
      </c>
    </row>
    <row r="149" spans="1:5" x14ac:dyDescent="0.35">
      <c r="A149" t="s">
        <v>281</v>
      </c>
      <c r="B149" t="s">
        <v>282</v>
      </c>
      <c r="C149" t="s">
        <v>14</v>
      </c>
      <c r="D149" t="s">
        <v>8</v>
      </c>
      <c r="E149" s="2">
        <v>44252</v>
      </c>
    </row>
    <row r="150" spans="1:5" x14ac:dyDescent="0.35">
      <c r="A150" t="s">
        <v>283</v>
      </c>
      <c r="B150" t="s">
        <v>284</v>
      </c>
      <c r="C150" t="s">
        <v>11</v>
      </c>
      <c r="D150" t="s">
        <v>31</v>
      </c>
      <c r="E150" s="2">
        <v>43515</v>
      </c>
    </row>
    <row r="151" spans="1:5" x14ac:dyDescent="0.35">
      <c r="A151" t="s">
        <v>285</v>
      </c>
      <c r="B151" t="s">
        <v>286</v>
      </c>
      <c r="C151" t="s">
        <v>51</v>
      </c>
      <c r="D151" t="s">
        <v>31</v>
      </c>
      <c r="E151" s="2">
        <v>43351</v>
      </c>
    </row>
    <row r="152" spans="1:5" x14ac:dyDescent="0.35">
      <c r="A152" t="s">
        <v>287</v>
      </c>
      <c r="B152" t="s">
        <v>288</v>
      </c>
      <c r="C152" t="s">
        <v>7</v>
      </c>
      <c r="D152" t="s">
        <v>31</v>
      </c>
      <c r="E152" s="2">
        <v>43559</v>
      </c>
    </row>
    <row r="153" spans="1:5" x14ac:dyDescent="0.35">
      <c r="A153" t="s">
        <v>289</v>
      </c>
      <c r="B153" t="s">
        <v>159</v>
      </c>
      <c r="C153" t="s">
        <v>14</v>
      </c>
      <c r="D153" t="s">
        <v>8</v>
      </c>
      <c r="E153" s="2">
        <v>43783</v>
      </c>
    </row>
    <row r="154" spans="1:5" x14ac:dyDescent="0.35">
      <c r="A154" t="s">
        <v>290</v>
      </c>
      <c r="B154" t="s">
        <v>291</v>
      </c>
      <c r="C154" t="s">
        <v>14</v>
      </c>
      <c r="D154" t="s">
        <v>31</v>
      </c>
      <c r="E154" s="2">
        <v>44761</v>
      </c>
    </row>
    <row r="155" spans="1:5" x14ac:dyDescent="0.35">
      <c r="A155" t="s">
        <v>292</v>
      </c>
      <c r="B155" t="s">
        <v>293</v>
      </c>
      <c r="C155" t="s">
        <v>25</v>
      </c>
      <c r="D155" t="s">
        <v>8</v>
      </c>
      <c r="E155" s="2">
        <v>44023</v>
      </c>
    </row>
    <row r="156" spans="1:5" x14ac:dyDescent="0.35">
      <c r="A156" t="s">
        <v>294</v>
      </c>
      <c r="B156" t="s">
        <v>240</v>
      </c>
      <c r="C156" t="s">
        <v>7</v>
      </c>
      <c r="D156" t="s">
        <v>8</v>
      </c>
      <c r="E156" s="2">
        <v>44466</v>
      </c>
    </row>
    <row r="157" spans="1:5" x14ac:dyDescent="0.35">
      <c r="A157" t="s">
        <v>295</v>
      </c>
      <c r="B157" t="s">
        <v>296</v>
      </c>
      <c r="C157" t="s">
        <v>7</v>
      </c>
      <c r="D157" t="s">
        <v>8</v>
      </c>
      <c r="E157" s="2">
        <v>43678</v>
      </c>
    </row>
    <row r="158" spans="1:5" x14ac:dyDescent="0.35">
      <c r="A158" t="s">
        <v>297</v>
      </c>
      <c r="B158" t="s">
        <v>298</v>
      </c>
      <c r="C158" t="s">
        <v>11</v>
      </c>
      <c r="D158" t="s">
        <v>17</v>
      </c>
      <c r="E158" s="2">
        <v>43309</v>
      </c>
    </row>
    <row r="159" spans="1:5" x14ac:dyDescent="0.35">
      <c r="A159" t="s">
        <v>299</v>
      </c>
      <c r="B159" t="s">
        <v>91</v>
      </c>
      <c r="C159" t="s">
        <v>14</v>
      </c>
      <c r="D159" t="s">
        <v>17</v>
      </c>
      <c r="E159" s="2">
        <v>43710</v>
      </c>
    </row>
    <row r="160" spans="1:5" x14ac:dyDescent="0.35">
      <c r="A160" t="s">
        <v>300</v>
      </c>
      <c r="B160" t="s">
        <v>91</v>
      </c>
      <c r="C160" t="s">
        <v>51</v>
      </c>
      <c r="D160" t="s">
        <v>17</v>
      </c>
      <c r="E160" s="2">
        <v>44341</v>
      </c>
    </row>
    <row r="161" spans="1:5" x14ac:dyDescent="0.35">
      <c r="A161" t="s">
        <v>301</v>
      </c>
      <c r="B161" t="s">
        <v>302</v>
      </c>
      <c r="C161" t="s">
        <v>14</v>
      </c>
      <c r="D161" t="s">
        <v>31</v>
      </c>
      <c r="E161" s="2">
        <v>44160</v>
      </c>
    </row>
    <row r="162" spans="1:5" x14ac:dyDescent="0.35">
      <c r="A162" t="s">
        <v>303</v>
      </c>
      <c r="B162" t="s">
        <v>46</v>
      </c>
      <c r="C162" t="s">
        <v>34</v>
      </c>
      <c r="D162" t="s">
        <v>17</v>
      </c>
      <c r="E162" s="2">
        <v>44673</v>
      </c>
    </row>
    <row r="163" spans="1:5" x14ac:dyDescent="0.35">
      <c r="A163" t="s">
        <v>304</v>
      </c>
      <c r="B163" t="s">
        <v>205</v>
      </c>
      <c r="C163" t="s">
        <v>30</v>
      </c>
      <c r="D163" t="s">
        <v>17</v>
      </c>
      <c r="E163" s="2">
        <v>43570</v>
      </c>
    </row>
    <row r="164" spans="1:5" x14ac:dyDescent="0.35">
      <c r="A164" t="s">
        <v>305</v>
      </c>
      <c r="B164" t="s">
        <v>203</v>
      </c>
      <c r="C164" t="s">
        <v>51</v>
      </c>
      <c r="D164" t="s">
        <v>31</v>
      </c>
      <c r="E164" s="2">
        <v>44693</v>
      </c>
    </row>
    <row r="165" spans="1:5" x14ac:dyDescent="0.35">
      <c r="A165" t="s">
        <v>306</v>
      </c>
      <c r="B165" t="s">
        <v>207</v>
      </c>
      <c r="C165" t="s">
        <v>11</v>
      </c>
      <c r="D165" t="s">
        <v>17</v>
      </c>
      <c r="E165" s="2">
        <v>43607</v>
      </c>
    </row>
    <row r="166" spans="1:5" x14ac:dyDescent="0.35">
      <c r="A166" t="s">
        <v>307</v>
      </c>
      <c r="B166" t="s">
        <v>203</v>
      </c>
      <c r="C166" t="s">
        <v>51</v>
      </c>
      <c r="D166" t="s">
        <v>17</v>
      </c>
      <c r="E166" s="2">
        <v>43836</v>
      </c>
    </row>
    <row r="167" spans="1:5" x14ac:dyDescent="0.35">
      <c r="A167" t="s">
        <v>308</v>
      </c>
      <c r="B167" t="s">
        <v>192</v>
      </c>
      <c r="C167" t="s">
        <v>20</v>
      </c>
      <c r="D167" t="s">
        <v>17</v>
      </c>
      <c r="E167" s="2">
        <v>44451</v>
      </c>
    </row>
    <row r="168" spans="1:5" x14ac:dyDescent="0.35">
      <c r="A168" t="s">
        <v>309</v>
      </c>
      <c r="B168" t="s">
        <v>57</v>
      </c>
      <c r="C168" t="s">
        <v>20</v>
      </c>
      <c r="D168" t="s">
        <v>17</v>
      </c>
      <c r="E168" s="2">
        <v>43661</v>
      </c>
    </row>
    <row r="169" spans="1:5" x14ac:dyDescent="0.35">
      <c r="A169" t="s">
        <v>310</v>
      </c>
      <c r="B169" t="s">
        <v>311</v>
      </c>
      <c r="C169" t="s">
        <v>20</v>
      </c>
      <c r="D169" t="s">
        <v>17</v>
      </c>
      <c r="E169" s="2">
        <v>44034</v>
      </c>
    </row>
    <row r="170" spans="1:5" x14ac:dyDescent="0.35">
      <c r="A170" t="s">
        <v>312</v>
      </c>
      <c r="B170" t="s">
        <v>22</v>
      </c>
      <c r="C170" t="s">
        <v>51</v>
      </c>
      <c r="D170" t="s">
        <v>31</v>
      </c>
      <c r="E170" s="2">
        <v>43542</v>
      </c>
    </row>
    <row r="171" spans="1:5" x14ac:dyDescent="0.35">
      <c r="A171" t="s">
        <v>313</v>
      </c>
      <c r="B171" t="s">
        <v>180</v>
      </c>
      <c r="C171" t="s">
        <v>20</v>
      </c>
      <c r="D171" t="s">
        <v>8</v>
      </c>
      <c r="E171" s="2">
        <v>43908</v>
      </c>
    </row>
    <row r="172" spans="1:5" x14ac:dyDescent="0.35">
      <c r="A172" t="s">
        <v>314</v>
      </c>
      <c r="B172" t="s">
        <v>315</v>
      </c>
      <c r="C172" t="s">
        <v>34</v>
      </c>
      <c r="D172" t="s">
        <v>31</v>
      </c>
      <c r="E172" s="2">
        <v>44077</v>
      </c>
    </row>
    <row r="173" spans="1:5" x14ac:dyDescent="0.35">
      <c r="A173" t="s">
        <v>316</v>
      </c>
      <c r="B173" t="s">
        <v>50</v>
      </c>
      <c r="C173" t="s">
        <v>11</v>
      </c>
      <c r="D173" t="s">
        <v>31</v>
      </c>
      <c r="E173" s="2">
        <v>43340</v>
      </c>
    </row>
    <row r="174" spans="1:5" x14ac:dyDescent="0.35">
      <c r="A174" t="s">
        <v>317</v>
      </c>
      <c r="B174" t="s">
        <v>318</v>
      </c>
      <c r="C174" t="s">
        <v>14</v>
      </c>
      <c r="D174" t="s">
        <v>8</v>
      </c>
      <c r="E174" s="2">
        <v>43155</v>
      </c>
    </row>
    <row r="175" spans="1:5" x14ac:dyDescent="0.35">
      <c r="A175" t="s">
        <v>319</v>
      </c>
      <c r="B175" t="s">
        <v>209</v>
      </c>
      <c r="C175" t="s">
        <v>14</v>
      </c>
      <c r="D175" t="s">
        <v>17</v>
      </c>
      <c r="E175" s="2">
        <v>43732</v>
      </c>
    </row>
    <row r="176" spans="1:5" x14ac:dyDescent="0.35">
      <c r="A176" t="s">
        <v>320</v>
      </c>
      <c r="B176" t="s">
        <v>55</v>
      </c>
      <c r="C176" t="s">
        <v>11</v>
      </c>
      <c r="D176" t="s">
        <v>31</v>
      </c>
      <c r="E176" s="2">
        <v>44820</v>
      </c>
    </row>
    <row r="177" spans="1:5" x14ac:dyDescent="0.35">
      <c r="A177" t="s">
        <v>321</v>
      </c>
      <c r="B177" t="s">
        <v>322</v>
      </c>
      <c r="C177" t="s">
        <v>30</v>
      </c>
      <c r="D177" t="s">
        <v>31</v>
      </c>
      <c r="E177" s="2">
        <v>43752</v>
      </c>
    </row>
    <row r="178" spans="1:5" x14ac:dyDescent="0.35">
      <c r="A178" t="s">
        <v>323</v>
      </c>
      <c r="B178" t="s">
        <v>324</v>
      </c>
      <c r="C178" t="s">
        <v>30</v>
      </c>
      <c r="D178" t="s">
        <v>8</v>
      </c>
      <c r="E178" s="2">
        <v>44805</v>
      </c>
    </row>
    <row r="179" spans="1:5" x14ac:dyDescent="0.35">
      <c r="A179" t="s">
        <v>325</v>
      </c>
      <c r="B179" t="s">
        <v>326</v>
      </c>
      <c r="C179" t="s">
        <v>34</v>
      </c>
      <c r="D179" t="s">
        <v>17</v>
      </c>
      <c r="E179" s="2">
        <v>43712</v>
      </c>
    </row>
    <row r="180" spans="1:5" x14ac:dyDescent="0.35">
      <c r="A180" t="s">
        <v>327</v>
      </c>
      <c r="B180" t="s">
        <v>53</v>
      </c>
      <c r="C180" t="s">
        <v>34</v>
      </c>
      <c r="D180" t="s">
        <v>17</v>
      </c>
      <c r="E180" s="2">
        <v>44123</v>
      </c>
    </row>
    <row r="181" spans="1:5" x14ac:dyDescent="0.35">
      <c r="A181" t="s">
        <v>328</v>
      </c>
      <c r="B181" t="s">
        <v>69</v>
      </c>
      <c r="C181" t="s">
        <v>30</v>
      </c>
      <c r="D181" t="s">
        <v>8</v>
      </c>
      <c r="E181" s="2">
        <v>44368</v>
      </c>
    </row>
    <row r="182" spans="1:5" x14ac:dyDescent="0.35">
      <c r="A182" t="s">
        <v>329</v>
      </c>
      <c r="B182" t="s">
        <v>330</v>
      </c>
      <c r="C182" t="s">
        <v>11</v>
      </c>
      <c r="D182" t="s">
        <v>31</v>
      </c>
      <c r="E182" s="2">
        <v>43541</v>
      </c>
    </row>
    <row r="183" spans="1:5" x14ac:dyDescent="0.35">
      <c r="A183" t="s">
        <v>331</v>
      </c>
      <c r="B183" t="s">
        <v>332</v>
      </c>
      <c r="C183" t="s">
        <v>30</v>
      </c>
      <c r="D183" t="s">
        <v>31</v>
      </c>
      <c r="E183" s="2">
        <v>43876</v>
      </c>
    </row>
    <row r="184" spans="1:5" x14ac:dyDescent="0.35">
      <c r="A184" t="s">
        <v>333</v>
      </c>
      <c r="B184" t="s">
        <v>334</v>
      </c>
      <c r="C184" t="s">
        <v>7</v>
      </c>
      <c r="D184" t="s">
        <v>31</v>
      </c>
      <c r="E184" s="2">
        <v>44912</v>
      </c>
    </row>
    <row r="185" spans="1:5" x14ac:dyDescent="0.35">
      <c r="A185" t="s">
        <v>335</v>
      </c>
      <c r="B185" t="s">
        <v>336</v>
      </c>
      <c r="C185" t="s">
        <v>11</v>
      </c>
      <c r="D185" t="s">
        <v>17</v>
      </c>
      <c r="E185" s="2">
        <v>44842</v>
      </c>
    </row>
    <row r="186" spans="1:5" x14ac:dyDescent="0.35">
      <c r="A186" t="s">
        <v>337</v>
      </c>
      <c r="B186" t="s">
        <v>126</v>
      </c>
      <c r="C186" t="s">
        <v>7</v>
      </c>
      <c r="D186" t="s">
        <v>8</v>
      </c>
      <c r="E186" s="2">
        <v>44323</v>
      </c>
    </row>
    <row r="187" spans="1:5" x14ac:dyDescent="0.35">
      <c r="A187" t="s">
        <v>338</v>
      </c>
      <c r="B187" t="s">
        <v>339</v>
      </c>
      <c r="C187" t="s">
        <v>20</v>
      </c>
      <c r="D187" t="s">
        <v>17</v>
      </c>
      <c r="E187" s="2">
        <v>43612</v>
      </c>
    </row>
    <row r="188" spans="1:5" x14ac:dyDescent="0.35">
      <c r="A188" t="s">
        <v>340</v>
      </c>
      <c r="B188" t="s">
        <v>341</v>
      </c>
      <c r="C188" t="s">
        <v>30</v>
      </c>
      <c r="D188" t="s">
        <v>31</v>
      </c>
      <c r="E188" s="2">
        <v>44441</v>
      </c>
    </row>
    <row r="189" spans="1:5" x14ac:dyDescent="0.35">
      <c r="A189" t="s">
        <v>342</v>
      </c>
      <c r="B189" t="s">
        <v>29</v>
      </c>
      <c r="C189" t="s">
        <v>34</v>
      </c>
      <c r="D189" t="s">
        <v>17</v>
      </c>
      <c r="E189" s="2">
        <v>43871</v>
      </c>
    </row>
    <row r="190" spans="1:5" x14ac:dyDescent="0.35">
      <c r="A190" t="s">
        <v>343</v>
      </c>
      <c r="B190" t="s">
        <v>240</v>
      </c>
      <c r="C190" t="s">
        <v>34</v>
      </c>
      <c r="D190" t="s">
        <v>17</v>
      </c>
      <c r="E190" s="2">
        <v>44891</v>
      </c>
    </row>
    <row r="191" spans="1:5" x14ac:dyDescent="0.35">
      <c r="A191" t="s">
        <v>344</v>
      </c>
      <c r="B191" t="s">
        <v>16</v>
      </c>
      <c r="C191" t="s">
        <v>20</v>
      </c>
      <c r="D191" t="s">
        <v>31</v>
      </c>
      <c r="E191" s="2">
        <v>43381</v>
      </c>
    </row>
    <row r="192" spans="1:5" x14ac:dyDescent="0.35">
      <c r="A192" t="s">
        <v>345</v>
      </c>
      <c r="B192" t="s">
        <v>346</v>
      </c>
      <c r="C192" t="s">
        <v>20</v>
      </c>
      <c r="D192" t="s">
        <v>31</v>
      </c>
      <c r="E192" s="2">
        <v>43416</v>
      </c>
    </row>
    <row r="193" spans="1:5" x14ac:dyDescent="0.35">
      <c r="A193" t="s">
        <v>347</v>
      </c>
      <c r="B193" t="s">
        <v>48</v>
      </c>
      <c r="C193" t="s">
        <v>34</v>
      </c>
      <c r="D193" t="s">
        <v>31</v>
      </c>
      <c r="E193" s="2">
        <v>43877</v>
      </c>
    </row>
    <row r="194" spans="1:5" x14ac:dyDescent="0.35">
      <c r="A194" t="s">
        <v>348</v>
      </c>
      <c r="B194" t="s">
        <v>349</v>
      </c>
      <c r="C194" t="s">
        <v>11</v>
      </c>
      <c r="D194" t="s">
        <v>31</v>
      </c>
      <c r="E194" s="2">
        <v>43446</v>
      </c>
    </row>
    <row r="195" spans="1:5" x14ac:dyDescent="0.35">
      <c r="A195" t="s">
        <v>350</v>
      </c>
      <c r="B195" t="s">
        <v>349</v>
      </c>
      <c r="C195" t="s">
        <v>14</v>
      </c>
      <c r="D195" t="s">
        <v>17</v>
      </c>
      <c r="E195" s="2">
        <v>43790</v>
      </c>
    </row>
    <row r="196" spans="1:5" x14ac:dyDescent="0.35">
      <c r="A196" t="s">
        <v>351</v>
      </c>
      <c r="B196" t="s">
        <v>352</v>
      </c>
      <c r="C196" t="s">
        <v>20</v>
      </c>
      <c r="D196" t="s">
        <v>17</v>
      </c>
      <c r="E196" s="2">
        <v>43566</v>
      </c>
    </row>
    <row r="197" spans="1:5" x14ac:dyDescent="0.35">
      <c r="A197" t="s">
        <v>353</v>
      </c>
      <c r="B197" t="s">
        <v>63</v>
      </c>
      <c r="C197" t="s">
        <v>20</v>
      </c>
      <c r="D197" t="s">
        <v>31</v>
      </c>
      <c r="E197" s="2">
        <v>44235</v>
      </c>
    </row>
    <row r="198" spans="1:5" x14ac:dyDescent="0.35">
      <c r="A198" t="s">
        <v>354</v>
      </c>
      <c r="B198" t="s">
        <v>355</v>
      </c>
      <c r="C198" t="s">
        <v>11</v>
      </c>
      <c r="D198" t="s">
        <v>31</v>
      </c>
      <c r="E198" s="2">
        <v>43657</v>
      </c>
    </row>
    <row r="199" spans="1:5" x14ac:dyDescent="0.35">
      <c r="A199" t="s">
        <v>356</v>
      </c>
      <c r="B199" t="s">
        <v>222</v>
      </c>
      <c r="C199" t="s">
        <v>34</v>
      </c>
      <c r="D199" t="s">
        <v>17</v>
      </c>
      <c r="E199" s="2">
        <v>44696</v>
      </c>
    </row>
    <row r="200" spans="1:5" x14ac:dyDescent="0.35">
      <c r="A200" t="s">
        <v>357</v>
      </c>
      <c r="B200" t="s">
        <v>358</v>
      </c>
      <c r="C200" t="s">
        <v>51</v>
      </c>
      <c r="D200" t="s">
        <v>31</v>
      </c>
      <c r="E200" s="2">
        <v>44215</v>
      </c>
    </row>
    <row r="201" spans="1:5" x14ac:dyDescent="0.35">
      <c r="A201" t="s">
        <v>359</v>
      </c>
      <c r="B201" t="s">
        <v>324</v>
      </c>
      <c r="C201" t="s">
        <v>34</v>
      </c>
      <c r="D201" t="s">
        <v>8</v>
      </c>
      <c r="E201" s="2">
        <v>44207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1770-FC16-47F5-99C2-D24FD4EF5F94}">
  <dimension ref="A1:J1001"/>
  <sheetViews>
    <sheetView workbookViewId="0">
      <selection activeCell="E9" sqref="E9"/>
    </sheetView>
  </sheetViews>
  <sheetFormatPr defaultRowHeight="14.5" x14ac:dyDescent="0.35"/>
  <cols>
    <col min="2" max="2" width="13.54296875" bestFit="1" customWidth="1"/>
    <col min="3" max="3" width="12.6328125" bestFit="1" customWidth="1"/>
    <col min="4" max="4" width="14.6328125" bestFit="1" customWidth="1"/>
    <col min="5" max="5" width="20.08984375" bestFit="1" customWidth="1"/>
    <col min="6" max="6" width="12.6328125" bestFit="1" customWidth="1"/>
    <col min="7" max="7" width="17" bestFit="1" customWidth="1"/>
    <col min="8" max="8" width="10.90625" bestFit="1" customWidth="1"/>
    <col min="9" max="9" width="15.36328125" bestFit="1" customWidth="1"/>
    <col min="10" max="10" width="27" bestFit="1" customWidth="1"/>
  </cols>
  <sheetData>
    <row r="1" spans="1:10" x14ac:dyDescent="0.35">
      <c r="A1" s="1" t="s">
        <v>360</v>
      </c>
      <c r="B1" s="1" t="s">
        <v>0</v>
      </c>
      <c r="C1" s="1" t="s">
        <v>361</v>
      </c>
      <c r="D1" s="1" t="s">
        <v>362</v>
      </c>
      <c r="E1" s="1" t="s">
        <v>363</v>
      </c>
      <c r="F1" s="1" t="s">
        <v>364</v>
      </c>
      <c r="G1" s="1" t="s">
        <v>365</v>
      </c>
      <c r="H1" s="1" t="s">
        <v>366</v>
      </c>
      <c r="I1" s="1" t="s">
        <v>367</v>
      </c>
      <c r="J1" s="1" t="s">
        <v>368</v>
      </c>
    </row>
    <row r="2" spans="1:10" x14ac:dyDescent="0.35">
      <c r="A2" s="1" t="s">
        <v>369</v>
      </c>
      <c r="B2" s="1" t="s">
        <v>283</v>
      </c>
      <c r="C2" s="1" t="s">
        <v>370</v>
      </c>
      <c r="D2" s="1">
        <v>11</v>
      </c>
      <c r="E2" s="1" t="s">
        <v>371</v>
      </c>
      <c r="F2" s="1">
        <v>2023</v>
      </c>
      <c r="G2" s="1">
        <v>62.1</v>
      </c>
      <c r="H2" s="1">
        <v>0.77270000000000005</v>
      </c>
      <c r="I2" s="1">
        <v>4798.4670000000006</v>
      </c>
      <c r="J2" s="1" t="s">
        <v>372</v>
      </c>
    </row>
    <row r="3" spans="1:10" x14ac:dyDescent="0.35">
      <c r="A3" s="1" t="s">
        <v>373</v>
      </c>
      <c r="B3" s="1" t="s">
        <v>90</v>
      </c>
      <c r="C3" s="1" t="s">
        <v>374</v>
      </c>
      <c r="D3" s="1">
        <v>7</v>
      </c>
      <c r="E3" s="1" t="s">
        <v>375</v>
      </c>
      <c r="F3" s="1">
        <v>2023</v>
      </c>
      <c r="G3" s="1">
        <v>95.2</v>
      </c>
      <c r="H3" s="1">
        <v>0.81410000000000005</v>
      </c>
      <c r="I3" s="1">
        <v>7750.2320000000009</v>
      </c>
      <c r="J3" s="1" t="s">
        <v>372</v>
      </c>
    </row>
    <row r="4" spans="1:10" x14ac:dyDescent="0.35">
      <c r="A4" s="1" t="s">
        <v>376</v>
      </c>
      <c r="B4" s="1" t="s">
        <v>138</v>
      </c>
      <c r="C4" s="1" t="s">
        <v>374</v>
      </c>
      <c r="D4" s="1">
        <v>8</v>
      </c>
      <c r="E4" s="1" t="s">
        <v>377</v>
      </c>
      <c r="F4" s="1">
        <v>2023</v>
      </c>
      <c r="G4" s="1">
        <v>262.64999999999998</v>
      </c>
      <c r="H4" s="1">
        <v>0.30869999999999997</v>
      </c>
      <c r="I4" s="1">
        <v>8108.0054999999984</v>
      </c>
      <c r="J4" s="1" t="s">
        <v>372</v>
      </c>
    </row>
    <row r="5" spans="1:10" x14ac:dyDescent="0.35">
      <c r="A5" s="1" t="s">
        <v>378</v>
      </c>
      <c r="B5" s="1" t="s">
        <v>235</v>
      </c>
      <c r="C5" s="1" t="s">
        <v>370</v>
      </c>
      <c r="D5" s="1">
        <v>6</v>
      </c>
      <c r="E5" s="1" t="s">
        <v>379</v>
      </c>
      <c r="F5" s="1">
        <v>2022</v>
      </c>
      <c r="G5" s="1">
        <v>427.99</v>
      </c>
      <c r="H5" s="1">
        <v>0.59309999999999996</v>
      </c>
      <c r="I5" s="1">
        <v>25384.086899999998</v>
      </c>
      <c r="J5" s="1" t="s">
        <v>372</v>
      </c>
    </row>
    <row r="6" spans="1:10" x14ac:dyDescent="0.35">
      <c r="A6" s="1" t="s">
        <v>380</v>
      </c>
      <c r="B6" s="1" t="s">
        <v>303</v>
      </c>
      <c r="C6" s="1" t="s">
        <v>374</v>
      </c>
      <c r="D6" s="1">
        <v>1</v>
      </c>
      <c r="E6" s="1" t="s">
        <v>381</v>
      </c>
      <c r="F6" s="1">
        <v>2023</v>
      </c>
      <c r="G6" s="1">
        <v>253.1</v>
      </c>
      <c r="H6" s="1">
        <v>0.38700000000000001</v>
      </c>
      <c r="I6" s="1">
        <v>9794.9700000000012</v>
      </c>
      <c r="J6" s="1" t="s">
        <v>372</v>
      </c>
    </row>
    <row r="7" spans="1:10" x14ac:dyDescent="0.35">
      <c r="A7" s="1" t="s">
        <v>382</v>
      </c>
      <c r="B7" s="1" t="s">
        <v>312</v>
      </c>
      <c r="C7" s="1" t="s">
        <v>374</v>
      </c>
      <c r="D7" s="1">
        <v>7</v>
      </c>
      <c r="E7" s="1" t="s">
        <v>375</v>
      </c>
      <c r="F7" s="1">
        <v>2023</v>
      </c>
      <c r="G7" s="1">
        <v>464.43</v>
      </c>
      <c r="H7" s="1">
        <v>0.68149999999999999</v>
      </c>
      <c r="I7" s="1">
        <v>31650.904500000001</v>
      </c>
      <c r="J7" s="1" t="s">
        <v>372</v>
      </c>
    </row>
    <row r="8" spans="1:10" x14ac:dyDescent="0.35">
      <c r="A8" s="1" t="s">
        <v>383</v>
      </c>
      <c r="B8" s="1" t="s">
        <v>60</v>
      </c>
      <c r="C8" s="1" t="s">
        <v>384</v>
      </c>
      <c r="D8" s="1">
        <v>8</v>
      </c>
      <c r="E8" s="1" t="s">
        <v>377</v>
      </c>
      <c r="F8" s="1">
        <v>2022</v>
      </c>
      <c r="G8" s="1">
        <v>214.25</v>
      </c>
      <c r="H8" s="1">
        <v>0.31630000000000003</v>
      </c>
      <c r="I8" s="1">
        <v>6776.7275000000009</v>
      </c>
      <c r="J8" s="1" t="s">
        <v>372</v>
      </c>
    </row>
    <row r="9" spans="1:10" x14ac:dyDescent="0.35">
      <c r="A9" s="1" t="s">
        <v>385</v>
      </c>
      <c r="B9" s="1" t="s">
        <v>108</v>
      </c>
      <c r="C9" s="1" t="s">
        <v>374</v>
      </c>
      <c r="D9" s="1">
        <v>7</v>
      </c>
      <c r="E9" s="1" t="s">
        <v>375</v>
      </c>
      <c r="F9" s="1">
        <v>2023</v>
      </c>
      <c r="G9" s="1">
        <v>134.72</v>
      </c>
      <c r="H9" s="1">
        <v>0.1636</v>
      </c>
      <c r="I9" s="1">
        <v>2204.0191999999997</v>
      </c>
      <c r="J9" s="1" t="s">
        <v>372</v>
      </c>
    </row>
    <row r="10" spans="1:10" x14ac:dyDescent="0.35">
      <c r="A10" s="1" t="s">
        <v>386</v>
      </c>
      <c r="B10" s="1" t="s">
        <v>68</v>
      </c>
      <c r="C10" s="1" t="s">
        <v>370</v>
      </c>
      <c r="D10" s="1">
        <v>10</v>
      </c>
      <c r="E10" s="1" t="s">
        <v>387</v>
      </c>
      <c r="F10" s="1">
        <v>2022</v>
      </c>
      <c r="G10" s="1">
        <v>440.17</v>
      </c>
      <c r="H10" s="1">
        <v>0.29809999999999998</v>
      </c>
      <c r="I10" s="1">
        <v>13121.467699999999</v>
      </c>
      <c r="J10" s="1" t="s">
        <v>372</v>
      </c>
    </row>
    <row r="11" spans="1:10" x14ac:dyDescent="0.35">
      <c r="A11" s="1" t="s">
        <v>388</v>
      </c>
      <c r="B11" s="1" t="s">
        <v>214</v>
      </c>
      <c r="C11" s="1" t="s">
        <v>384</v>
      </c>
      <c r="D11" s="1">
        <v>2</v>
      </c>
      <c r="E11" s="1" t="s">
        <v>389</v>
      </c>
      <c r="F11" s="1">
        <v>2023</v>
      </c>
      <c r="G11" s="1">
        <v>365</v>
      </c>
      <c r="H11" s="1">
        <v>0.79800000000000004</v>
      </c>
      <c r="I11" s="1">
        <v>29127.000000000004</v>
      </c>
      <c r="J11" s="1" t="s">
        <v>372</v>
      </c>
    </row>
    <row r="12" spans="1:10" x14ac:dyDescent="0.35">
      <c r="A12" s="1" t="s">
        <v>390</v>
      </c>
      <c r="B12" s="1" t="s">
        <v>338</v>
      </c>
      <c r="C12" s="1" t="s">
        <v>384</v>
      </c>
      <c r="D12" s="1">
        <v>3</v>
      </c>
      <c r="E12" s="1" t="s">
        <v>391</v>
      </c>
      <c r="F12" s="1">
        <v>2024</v>
      </c>
      <c r="G12" s="1">
        <v>381.29</v>
      </c>
      <c r="H12" s="1">
        <v>0.73960000000000004</v>
      </c>
      <c r="I12" s="1">
        <v>28200.208400000003</v>
      </c>
      <c r="J12" s="1" t="s">
        <v>372</v>
      </c>
    </row>
    <row r="13" spans="1:10" x14ac:dyDescent="0.35">
      <c r="A13" s="1" t="s">
        <v>392</v>
      </c>
      <c r="B13" s="1" t="s">
        <v>191</v>
      </c>
      <c r="C13" s="1" t="s">
        <v>374</v>
      </c>
      <c r="D13" s="1">
        <v>11</v>
      </c>
      <c r="E13" s="1" t="s">
        <v>371</v>
      </c>
      <c r="F13" s="1">
        <v>2024</v>
      </c>
      <c r="G13" s="1">
        <v>109.46</v>
      </c>
      <c r="H13" s="1">
        <v>0.63759999999999994</v>
      </c>
      <c r="I13" s="1">
        <v>6979.1695999999984</v>
      </c>
      <c r="J13" s="1" t="s">
        <v>372</v>
      </c>
    </row>
    <row r="14" spans="1:10" x14ac:dyDescent="0.35">
      <c r="A14" s="1" t="s">
        <v>393</v>
      </c>
      <c r="B14" s="1" t="s">
        <v>147</v>
      </c>
      <c r="C14" s="1" t="s">
        <v>374</v>
      </c>
      <c r="D14" s="1">
        <v>4</v>
      </c>
      <c r="E14" s="1" t="s">
        <v>394</v>
      </c>
      <c r="F14" s="1">
        <v>2023</v>
      </c>
      <c r="G14" s="1">
        <v>360.32</v>
      </c>
      <c r="H14" s="1">
        <v>0.58450000000000002</v>
      </c>
      <c r="I14" s="1">
        <v>21060.704000000002</v>
      </c>
      <c r="J14" s="1" t="s">
        <v>372</v>
      </c>
    </row>
    <row r="15" spans="1:10" x14ac:dyDescent="0.35">
      <c r="A15" s="1" t="s">
        <v>395</v>
      </c>
      <c r="B15" s="1" t="s">
        <v>283</v>
      </c>
      <c r="C15" s="1" t="s">
        <v>384</v>
      </c>
      <c r="D15" s="1">
        <v>6</v>
      </c>
      <c r="E15" s="1" t="s">
        <v>379</v>
      </c>
      <c r="F15" s="1">
        <v>2023</v>
      </c>
      <c r="G15" s="1">
        <v>207.66</v>
      </c>
      <c r="H15" s="1">
        <v>0.27129999999999999</v>
      </c>
      <c r="I15" s="1">
        <v>5633.8157999999994</v>
      </c>
      <c r="J15" s="1" t="s">
        <v>372</v>
      </c>
    </row>
    <row r="16" spans="1:10" x14ac:dyDescent="0.35">
      <c r="A16" s="1" t="s">
        <v>396</v>
      </c>
      <c r="B16" s="1" t="s">
        <v>300</v>
      </c>
      <c r="C16" s="1" t="s">
        <v>374</v>
      </c>
      <c r="D16" s="1">
        <v>8</v>
      </c>
      <c r="E16" s="1" t="s">
        <v>377</v>
      </c>
      <c r="F16" s="1">
        <v>2023</v>
      </c>
      <c r="G16" s="1">
        <v>42.22</v>
      </c>
      <c r="H16" s="1">
        <v>0.39860000000000001</v>
      </c>
      <c r="I16" s="1">
        <v>1682.8892000000001</v>
      </c>
      <c r="J16" s="1" t="s">
        <v>372</v>
      </c>
    </row>
    <row r="17" spans="1:10" x14ac:dyDescent="0.35">
      <c r="A17" s="1" t="s">
        <v>397</v>
      </c>
      <c r="B17" s="1" t="s">
        <v>119</v>
      </c>
      <c r="C17" s="1" t="s">
        <v>384</v>
      </c>
      <c r="D17" s="1">
        <v>8</v>
      </c>
      <c r="E17" s="1" t="s">
        <v>377</v>
      </c>
      <c r="F17" s="1">
        <v>2024</v>
      </c>
      <c r="G17" s="1">
        <v>324.89999999999998</v>
      </c>
      <c r="H17" s="1">
        <v>0.69789999999999996</v>
      </c>
      <c r="I17" s="1">
        <v>22674.770999999997</v>
      </c>
      <c r="J17" s="1" t="s">
        <v>372</v>
      </c>
    </row>
    <row r="18" spans="1:10" x14ac:dyDescent="0.35">
      <c r="A18" s="1" t="s">
        <v>398</v>
      </c>
      <c r="B18" s="1" t="s">
        <v>138</v>
      </c>
      <c r="C18" s="1" t="s">
        <v>384</v>
      </c>
      <c r="D18" s="1">
        <v>6</v>
      </c>
      <c r="E18" s="1" t="s">
        <v>379</v>
      </c>
      <c r="F18" s="1">
        <v>2024</v>
      </c>
      <c r="G18" s="1">
        <v>339.93</v>
      </c>
      <c r="H18" s="1">
        <v>0.13950000000000001</v>
      </c>
      <c r="I18" s="1">
        <v>4742.0235000000002</v>
      </c>
      <c r="J18" s="1" t="s">
        <v>372</v>
      </c>
    </row>
    <row r="19" spans="1:10" x14ac:dyDescent="0.35">
      <c r="A19" s="1" t="s">
        <v>399</v>
      </c>
      <c r="B19" s="1" t="s">
        <v>32</v>
      </c>
      <c r="C19" s="1" t="s">
        <v>374</v>
      </c>
      <c r="D19" s="1">
        <v>8</v>
      </c>
      <c r="E19" s="1" t="s">
        <v>377</v>
      </c>
      <c r="F19" s="1">
        <v>2022</v>
      </c>
      <c r="G19" s="1">
        <v>141.97</v>
      </c>
      <c r="H19" s="1">
        <v>0.59350000000000003</v>
      </c>
      <c r="I19" s="1">
        <v>8425.9195</v>
      </c>
      <c r="J19" s="1" t="s">
        <v>372</v>
      </c>
    </row>
    <row r="20" spans="1:10" x14ac:dyDescent="0.35">
      <c r="A20" s="1" t="s">
        <v>400</v>
      </c>
      <c r="B20" s="1" t="s">
        <v>354</v>
      </c>
      <c r="C20" s="1" t="s">
        <v>374</v>
      </c>
      <c r="D20" s="1">
        <v>11</v>
      </c>
      <c r="E20" s="1" t="s">
        <v>371</v>
      </c>
      <c r="F20" s="1">
        <v>2023</v>
      </c>
      <c r="G20" s="1">
        <v>58.62</v>
      </c>
      <c r="H20" s="1">
        <v>0.16569999999999999</v>
      </c>
      <c r="I20" s="1">
        <v>971.33339999999976</v>
      </c>
      <c r="J20" s="1" t="s">
        <v>372</v>
      </c>
    </row>
    <row r="21" spans="1:10" x14ac:dyDescent="0.35">
      <c r="A21" t="s">
        <v>401</v>
      </c>
      <c r="B21" t="s">
        <v>281</v>
      </c>
      <c r="C21" t="s">
        <v>384</v>
      </c>
      <c r="D21">
        <v>3</v>
      </c>
      <c r="E21" t="s">
        <v>391</v>
      </c>
      <c r="F21">
        <v>2024</v>
      </c>
      <c r="G21">
        <v>349.78</v>
      </c>
      <c r="H21">
        <v>0.48309999999999997</v>
      </c>
      <c r="I21">
        <v>16897.871799999997</v>
      </c>
      <c r="J21" t="s">
        <v>372</v>
      </c>
    </row>
    <row r="22" spans="1:10" x14ac:dyDescent="0.35">
      <c r="A22" t="s">
        <v>402</v>
      </c>
      <c r="B22" t="s">
        <v>290</v>
      </c>
      <c r="C22" t="s">
        <v>370</v>
      </c>
      <c r="D22">
        <v>9</v>
      </c>
      <c r="E22" t="s">
        <v>403</v>
      </c>
      <c r="F22">
        <v>2022</v>
      </c>
      <c r="G22">
        <v>111.61</v>
      </c>
      <c r="H22">
        <v>0.13350000000000001</v>
      </c>
      <c r="I22">
        <v>1489.9935</v>
      </c>
      <c r="J22" t="s">
        <v>372</v>
      </c>
    </row>
    <row r="23" spans="1:10" x14ac:dyDescent="0.35">
      <c r="A23" t="s">
        <v>404</v>
      </c>
      <c r="B23" t="s">
        <v>247</v>
      </c>
      <c r="C23" t="s">
        <v>370</v>
      </c>
      <c r="D23">
        <v>7</v>
      </c>
      <c r="E23" t="s">
        <v>375</v>
      </c>
      <c r="F23">
        <v>2022</v>
      </c>
      <c r="G23">
        <v>464.29</v>
      </c>
      <c r="H23">
        <v>0.44590000000000002</v>
      </c>
      <c r="I23">
        <v>20702.6911</v>
      </c>
      <c r="J23" t="s">
        <v>372</v>
      </c>
    </row>
    <row r="24" spans="1:10" x14ac:dyDescent="0.35">
      <c r="A24" t="s">
        <v>405</v>
      </c>
      <c r="B24" t="s">
        <v>260</v>
      </c>
      <c r="C24" t="s">
        <v>374</v>
      </c>
      <c r="D24">
        <v>10</v>
      </c>
      <c r="E24" t="s">
        <v>387</v>
      </c>
      <c r="F24">
        <v>2024</v>
      </c>
      <c r="G24">
        <v>344.45</v>
      </c>
      <c r="H24">
        <v>0.1363</v>
      </c>
      <c r="I24">
        <v>4694.8535000000002</v>
      </c>
      <c r="J24" t="s">
        <v>372</v>
      </c>
    </row>
    <row r="25" spans="1:10" x14ac:dyDescent="0.35">
      <c r="A25" t="s">
        <v>406</v>
      </c>
      <c r="B25" t="s">
        <v>307</v>
      </c>
      <c r="C25" t="s">
        <v>384</v>
      </c>
      <c r="D25">
        <v>8</v>
      </c>
      <c r="E25" t="s">
        <v>377</v>
      </c>
      <c r="F25">
        <v>2022</v>
      </c>
      <c r="G25">
        <v>400.28</v>
      </c>
      <c r="H25">
        <v>0.63880000000000003</v>
      </c>
      <c r="I25">
        <v>25569.886399999999</v>
      </c>
      <c r="J25" t="s">
        <v>372</v>
      </c>
    </row>
    <row r="26" spans="1:10" x14ac:dyDescent="0.35">
      <c r="A26" t="s">
        <v>407</v>
      </c>
      <c r="B26" t="s">
        <v>253</v>
      </c>
      <c r="C26" t="s">
        <v>370</v>
      </c>
      <c r="D26">
        <v>4</v>
      </c>
      <c r="E26" t="s">
        <v>394</v>
      </c>
      <c r="F26">
        <v>2024</v>
      </c>
      <c r="G26">
        <v>19.91</v>
      </c>
      <c r="H26">
        <v>0.71299999999999997</v>
      </c>
      <c r="I26">
        <v>1419.5829999999999</v>
      </c>
      <c r="J26" t="s">
        <v>372</v>
      </c>
    </row>
    <row r="27" spans="1:10" x14ac:dyDescent="0.35">
      <c r="A27" t="s">
        <v>408</v>
      </c>
      <c r="B27" t="s">
        <v>345</v>
      </c>
      <c r="C27" t="s">
        <v>384</v>
      </c>
      <c r="D27">
        <v>10</v>
      </c>
      <c r="E27" t="s">
        <v>387</v>
      </c>
      <c r="F27">
        <v>2023</v>
      </c>
      <c r="G27">
        <v>446.14</v>
      </c>
      <c r="H27">
        <v>0.62</v>
      </c>
      <c r="I27">
        <v>27660.679999999997</v>
      </c>
      <c r="J27" t="s">
        <v>372</v>
      </c>
    </row>
    <row r="28" spans="1:10" x14ac:dyDescent="0.35">
      <c r="A28" t="s">
        <v>409</v>
      </c>
      <c r="B28" t="s">
        <v>249</v>
      </c>
      <c r="C28" t="s">
        <v>370</v>
      </c>
      <c r="D28">
        <v>4</v>
      </c>
      <c r="E28" t="s">
        <v>394</v>
      </c>
      <c r="F28">
        <v>2024</v>
      </c>
      <c r="G28">
        <v>455.69</v>
      </c>
      <c r="H28">
        <v>0.42249999999999999</v>
      </c>
      <c r="I28">
        <v>19252.9025</v>
      </c>
      <c r="J28" t="s">
        <v>372</v>
      </c>
    </row>
    <row r="29" spans="1:10" x14ac:dyDescent="0.35">
      <c r="A29" t="s">
        <v>410</v>
      </c>
      <c r="B29" t="s">
        <v>217</v>
      </c>
      <c r="C29" t="s">
        <v>384</v>
      </c>
      <c r="D29">
        <v>2</v>
      </c>
      <c r="E29" t="s">
        <v>389</v>
      </c>
      <c r="F29">
        <v>2022</v>
      </c>
      <c r="G29">
        <v>107.98</v>
      </c>
      <c r="H29">
        <v>0.76849999999999996</v>
      </c>
      <c r="I29">
        <v>8298.2630000000008</v>
      </c>
      <c r="J29" t="s">
        <v>372</v>
      </c>
    </row>
    <row r="30" spans="1:10" x14ac:dyDescent="0.35">
      <c r="A30" t="s">
        <v>411</v>
      </c>
      <c r="B30" t="s">
        <v>39</v>
      </c>
      <c r="C30" t="s">
        <v>370</v>
      </c>
      <c r="D30">
        <v>9</v>
      </c>
      <c r="E30" t="s">
        <v>403</v>
      </c>
      <c r="F30">
        <v>2023</v>
      </c>
      <c r="G30">
        <v>383.56</v>
      </c>
      <c r="H30">
        <v>0.30520000000000003</v>
      </c>
      <c r="I30">
        <v>11706.251200000001</v>
      </c>
      <c r="J30" t="s">
        <v>372</v>
      </c>
    </row>
    <row r="31" spans="1:10" x14ac:dyDescent="0.35">
      <c r="A31" t="s">
        <v>412</v>
      </c>
      <c r="B31" t="s">
        <v>166</v>
      </c>
      <c r="C31" t="s">
        <v>384</v>
      </c>
      <c r="D31">
        <v>11</v>
      </c>
      <c r="E31" t="s">
        <v>371</v>
      </c>
      <c r="F31">
        <v>2022</v>
      </c>
      <c r="G31">
        <v>443.18</v>
      </c>
      <c r="H31">
        <v>0.71309999999999996</v>
      </c>
      <c r="I31">
        <v>31603.165799999999</v>
      </c>
      <c r="J31" t="s">
        <v>372</v>
      </c>
    </row>
    <row r="32" spans="1:10" x14ac:dyDescent="0.35">
      <c r="A32" t="s">
        <v>413</v>
      </c>
      <c r="B32" t="s">
        <v>179</v>
      </c>
      <c r="C32" t="s">
        <v>374</v>
      </c>
      <c r="D32">
        <v>1</v>
      </c>
      <c r="E32" t="s">
        <v>381</v>
      </c>
      <c r="F32">
        <v>2024</v>
      </c>
      <c r="G32">
        <v>130.62</v>
      </c>
      <c r="H32">
        <v>0.47360000000000002</v>
      </c>
      <c r="I32">
        <v>6186.1632000000009</v>
      </c>
      <c r="J32" t="s">
        <v>372</v>
      </c>
    </row>
    <row r="33" spans="1:10" x14ac:dyDescent="0.35">
      <c r="A33" t="s">
        <v>414</v>
      </c>
      <c r="B33" t="s">
        <v>306</v>
      </c>
      <c r="C33" t="s">
        <v>374</v>
      </c>
      <c r="D33">
        <v>9</v>
      </c>
      <c r="E33" t="s">
        <v>403</v>
      </c>
      <c r="F33">
        <v>2023</v>
      </c>
      <c r="G33">
        <v>122.76</v>
      </c>
      <c r="H33">
        <v>0.16270000000000001</v>
      </c>
      <c r="I33">
        <v>1997.3052000000002</v>
      </c>
      <c r="J33" t="s">
        <v>372</v>
      </c>
    </row>
    <row r="34" spans="1:10" x14ac:dyDescent="0.35">
      <c r="A34" t="s">
        <v>415</v>
      </c>
      <c r="B34" t="s">
        <v>28</v>
      </c>
      <c r="C34" t="s">
        <v>374</v>
      </c>
      <c r="D34">
        <v>3</v>
      </c>
      <c r="E34" t="s">
        <v>391</v>
      </c>
      <c r="F34">
        <v>2024</v>
      </c>
      <c r="G34">
        <v>148.08000000000001</v>
      </c>
      <c r="H34">
        <v>0.1633</v>
      </c>
      <c r="I34">
        <v>2418.1464000000001</v>
      </c>
      <c r="J34" t="s">
        <v>372</v>
      </c>
    </row>
    <row r="35" spans="1:10" x14ac:dyDescent="0.35">
      <c r="A35" t="s">
        <v>416</v>
      </c>
      <c r="B35" t="s">
        <v>196</v>
      </c>
      <c r="C35" t="s">
        <v>374</v>
      </c>
      <c r="D35">
        <v>5</v>
      </c>
      <c r="E35" t="s">
        <v>417</v>
      </c>
      <c r="F35">
        <v>2023</v>
      </c>
      <c r="G35">
        <v>161.25</v>
      </c>
      <c r="H35">
        <v>0.35720000000000002</v>
      </c>
      <c r="I35">
        <v>5759.85</v>
      </c>
      <c r="J35" t="s">
        <v>372</v>
      </c>
    </row>
    <row r="36" spans="1:10" x14ac:dyDescent="0.35">
      <c r="A36" t="s">
        <v>418</v>
      </c>
      <c r="B36" t="s">
        <v>125</v>
      </c>
      <c r="C36" t="s">
        <v>374</v>
      </c>
      <c r="D36">
        <v>3</v>
      </c>
      <c r="E36" t="s">
        <v>391</v>
      </c>
      <c r="F36">
        <v>2024</v>
      </c>
      <c r="G36">
        <v>295.23</v>
      </c>
      <c r="H36">
        <v>0.57179999999999997</v>
      </c>
      <c r="I36">
        <v>16881.251400000001</v>
      </c>
      <c r="J36" t="s">
        <v>372</v>
      </c>
    </row>
    <row r="37" spans="1:10" x14ac:dyDescent="0.35">
      <c r="A37" t="s">
        <v>419</v>
      </c>
      <c r="B37" t="s">
        <v>168</v>
      </c>
      <c r="C37" t="s">
        <v>374</v>
      </c>
      <c r="D37">
        <v>3</v>
      </c>
      <c r="E37" t="s">
        <v>391</v>
      </c>
      <c r="F37">
        <v>2024</v>
      </c>
      <c r="G37">
        <v>292.64999999999998</v>
      </c>
      <c r="H37">
        <v>0.25969999999999999</v>
      </c>
      <c r="I37">
        <v>7600.1204999999982</v>
      </c>
      <c r="J37" t="s">
        <v>372</v>
      </c>
    </row>
    <row r="38" spans="1:10" x14ac:dyDescent="0.35">
      <c r="A38" t="s">
        <v>420</v>
      </c>
      <c r="B38" t="s">
        <v>340</v>
      </c>
      <c r="C38" t="s">
        <v>374</v>
      </c>
      <c r="D38">
        <v>10</v>
      </c>
      <c r="E38" t="s">
        <v>387</v>
      </c>
      <c r="F38">
        <v>2023</v>
      </c>
      <c r="G38">
        <v>12.63</v>
      </c>
      <c r="H38">
        <v>0.47839999999999999</v>
      </c>
      <c r="I38">
        <v>604.2192</v>
      </c>
      <c r="J38" t="s">
        <v>372</v>
      </c>
    </row>
    <row r="39" spans="1:10" x14ac:dyDescent="0.35">
      <c r="A39" t="s">
        <v>421</v>
      </c>
      <c r="B39" t="s">
        <v>217</v>
      </c>
      <c r="C39" t="s">
        <v>374</v>
      </c>
      <c r="D39">
        <v>8</v>
      </c>
      <c r="E39" t="s">
        <v>377</v>
      </c>
      <c r="F39">
        <v>2022</v>
      </c>
      <c r="G39">
        <v>323.16000000000003</v>
      </c>
      <c r="H39">
        <v>0.54769999999999996</v>
      </c>
      <c r="I39">
        <v>17699.4732</v>
      </c>
      <c r="J39" t="s">
        <v>372</v>
      </c>
    </row>
    <row r="40" spans="1:10" x14ac:dyDescent="0.35">
      <c r="A40" t="s">
        <v>422</v>
      </c>
      <c r="B40" t="s">
        <v>95</v>
      </c>
      <c r="C40" t="s">
        <v>370</v>
      </c>
      <c r="D40">
        <v>7</v>
      </c>
      <c r="E40" t="s">
        <v>375</v>
      </c>
      <c r="F40">
        <v>2023</v>
      </c>
      <c r="G40">
        <v>0</v>
      </c>
      <c r="H40">
        <v>0.60499999999999998</v>
      </c>
      <c r="I40">
        <v>0</v>
      </c>
      <c r="J40" t="s">
        <v>423</v>
      </c>
    </row>
    <row r="41" spans="1:10" x14ac:dyDescent="0.35">
      <c r="A41" t="s">
        <v>424</v>
      </c>
      <c r="B41" t="s">
        <v>250</v>
      </c>
      <c r="C41" t="s">
        <v>374</v>
      </c>
      <c r="D41">
        <v>5</v>
      </c>
      <c r="E41" t="s">
        <v>417</v>
      </c>
      <c r="F41">
        <v>2024</v>
      </c>
      <c r="G41">
        <v>95.88</v>
      </c>
      <c r="H41">
        <v>0.4708</v>
      </c>
      <c r="I41">
        <v>4514.0303999999996</v>
      </c>
      <c r="J41" t="s">
        <v>372</v>
      </c>
    </row>
    <row r="42" spans="1:10" x14ac:dyDescent="0.35">
      <c r="A42" t="s">
        <v>425</v>
      </c>
      <c r="B42" t="s">
        <v>137</v>
      </c>
      <c r="C42" t="s">
        <v>384</v>
      </c>
      <c r="D42">
        <v>6</v>
      </c>
      <c r="E42" t="s">
        <v>379</v>
      </c>
      <c r="F42">
        <v>2023</v>
      </c>
      <c r="G42">
        <v>231.51</v>
      </c>
      <c r="H42">
        <v>0.25700000000000001</v>
      </c>
      <c r="I42">
        <v>5949.8069999999998</v>
      </c>
      <c r="J42" t="s">
        <v>372</v>
      </c>
    </row>
    <row r="43" spans="1:10" x14ac:dyDescent="0.35">
      <c r="A43" t="s">
        <v>426</v>
      </c>
      <c r="B43" t="s">
        <v>257</v>
      </c>
      <c r="C43" t="s">
        <v>374</v>
      </c>
      <c r="D43">
        <v>2</v>
      </c>
      <c r="E43" t="s">
        <v>389</v>
      </c>
      <c r="F43">
        <v>2024</v>
      </c>
      <c r="G43">
        <v>39.82</v>
      </c>
      <c r="H43">
        <v>0.65539999999999998</v>
      </c>
      <c r="I43">
        <v>2609.8027999999999</v>
      </c>
      <c r="J43" t="s">
        <v>372</v>
      </c>
    </row>
    <row r="44" spans="1:10" x14ac:dyDescent="0.35">
      <c r="A44" t="s">
        <v>427</v>
      </c>
      <c r="B44" t="s">
        <v>331</v>
      </c>
      <c r="C44" t="s">
        <v>374</v>
      </c>
      <c r="D44">
        <v>3</v>
      </c>
      <c r="E44" t="s">
        <v>391</v>
      </c>
      <c r="F44">
        <v>2024</v>
      </c>
      <c r="G44">
        <v>422.84</v>
      </c>
      <c r="H44">
        <v>0.52270000000000005</v>
      </c>
      <c r="I44">
        <v>22101.846800000003</v>
      </c>
      <c r="J44" t="s">
        <v>372</v>
      </c>
    </row>
    <row r="45" spans="1:10" x14ac:dyDescent="0.35">
      <c r="A45" t="s">
        <v>428</v>
      </c>
      <c r="B45" t="s">
        <v>354</v>
      </c>
      <c r="C45" t="s">
        <v>384</v>
      </c>
      <c r="D45">
        <v>7</v>
      </c>
      <c r="E45" t="s">
        <v>375</v>
      </c>
      <c r="F45">
        <v>2023</v>
      </c>
      <c r="G45">
        <v>148.59</v>
      </c>
      <c r="H45">
        <v>0.78349999999999997</v>
      </c>
      <c r="I45">
        <v>11642.0265</v>
      </c>
      <c r="J45" t="s">
        <v>372</v>
      </c>
    </row>
    <row r="46" spans="1:10" x14ac:dyDescent="0.35">
      <c r="A46" t="s">
        <v>429</v>
      </c>
      <c r="B46" t="s">
        <v>259</v>
      </c>
      <c r="C46" t="s">
        <v>374</v>
      </c>
      <c r="D46">
        <v>11</v>
      </c>
      <c r="E46" t="s">
        <v>371</v>
      </c>
      <c r="F46">
        <v>2023</v>
      </c>
      <c r="G46">
        <v>54.69</v>
      </c>
      <c r="H46">
        <v>0.1714</v>
      </c>
      <c r="I46">
        <v>937.38659999999993</v>
      </c>
      <c r="J46" t="s">
        <v>372</v>
      </c>
    </row>
    <row r="47" spans="1:10" x14ac:dyDescent="0.35">
      <c r="A47" t="s">
        <v>430</v>
      </c>
      <c r="B47" t="s">
        <v>333</v>
      </c>
      <c r="C47" t="s">
        <v>384</v>
      </c>
      <c r="D47">
        <v>9</v>
      </c>
      <c r="E47" t="s">
        <v>403</v>
      </c>
      <c r="F47">
        <v>2023</v>
      </c>
      <c r="G47">
        <v>63.56</v>
      </c>
      <c r="H47">
        <v>0.64729999999999999</v>
      </c>
      <c r="I47">
        <v>4114.2388000000001</v>
      </c>
      <c r="J47" t="s">
        <v>372</v>
      </c>
    </row>
    <row r="48" spans="1:10" x14ac:dyDescent="0.35">
      <c r="A48" t="s">
        <v>431</v>
      </c>
      <c r="B48" t="s">
        <v>181</v>
      </c>
      <c r="C48" t="s">
        <v>374</v>
      </c>
      <c r="D48">
        <v>9</v>
      </c>
      <c r="E48" t="s">
        <v>403</v>
      </c>
      <c r="F48">
        <v>2022</v>
      </c>
      <c r="G48">
        <v>318.85000000000002</v>
      </c>
      <c r="H48">
        <v>0.32579999999999998</v>
      </c>
      <c r="I48">
        <v>10388.133</v>
      </c>
      <c r="J48" t="s">
        <v>372</v>
      </c>
    </row>
    <row r="49" spans="1:10" x14ac:dyDescent="0.35">
      <c r="A49" t="s">
        <v>432</v>
      </c>
      <c r="B49" t="s">
        <v>85</v>
      </c>
      <c r="C49" t="s">
        <v>384</v>
      </c>
      <c r="D49">
        <v>9</v>
      </c>
      <c r="E49" t="s">
        <v>403</v>
      </c>
      <c r="F49">
        <v>2022</v>
      </c>
      <c r="G49">
        <v>208.23</v>
      </c>
      <c r="H49">
        <v>0.3947</v>
      </c>
      <c r="I49">
        <v>8218.838099999999</v>
      </c>
      <c r="J49" t="s">
        <v>372</v>
      </c>
    </row>
    <row r="50" spans="1:10" x14ac:dyDescent="0.35">
      <c r="A50" t="s">
        <v>433</v>
      </c>
      <c r="B50" t="s">
        <v>72</v>
      </c>
      <c r="C50" t="s">
        <v>374</v>
      </c>
      <c r="D50">
        <v>3</v>
      </c>
      <c r="E50" t="s">
        <v>391</v>
      </c>
      <c r="F50">
        <v>2022</v>
      </c>
      <c r="G50">
        <v>427.21</v>
      </c>
      <c r="H50">
        <v>0.1263</v>
      </c>
      <c r="I50">
        <v>5395.662299999999</v>
      </c>
      <c r="J50" t="s">
        <v>372</v>
      </c>
    </row>
    <row r="51" spans="1:10" x14ac:dyDescent="0.35">
      <c r="A51" t="s">
        <v>434</v>
      </c>
      <c r="B51" t="s">
        <v>106</v>
      </c>
      <c r="C51" t="s">
        <v>374</v>
      </c>
      <c r="D51">
        <v>8</v>
      </c>
      <c r="E51" t="s">
        <v>377</v>
      </c>
      <c r="F51">
        <v>2024</v>
      </c>
      <c r="G51">
        <v>157.75</v>
      </c>
      <c r="H51">
        <v>0.12770000000000001</v>
      </c>
      <c r="I51">
        <v>2014.4675000000002</v>
      </c>
      <c r="J51" t="s">
        <v>372</v>
      </c>
    </row>
    <row r="52" spans="1:10" x14ac:dyDescent="0.35">
      <c r="A52" t="s">
        <v>435</v>
      </c>
      <c r="B52" t="s">
        <v>113</v>
      </c>
      <c r="C52" t="s">
        <v>384</v>
      </c>
      <c r="D52">
        <v>10</v>
      </c>
      <c r="E52" t="s">
        <v>387</v>
      </c>
      <c r="F52">
        <v>2024</v>
      </c>
      <c r="G52">
        <v>41.63</v>
      </c>
      <c r="H52">
        <v>0.31890000000000002</v>
      </c>
      <c r="I52">
        <v>1327.5807000000002</v>
      </c>
      <c r="J52" t="s">
        <v>372</v>
      </c>
    </row>
    <row r="53" spans="1:10" x14ac:dyDescent="0.35">
      <c r="A53" t="s">
        <v>436</v>
      </c>
      <c r="B53" t="s">
        <v>241</v>
      </c>
      <c r="C53" t="s">
        <v>370</v>
      </c>
      <c r="D53">
        <v>6</v>
      </c>
      <c r="E53" t="s">
        <v>379</v>
      </c>
      <c r="F53">
        <v>2022</v>
      </c>
      <c r="G53">
        <v>178.73</v>
      </c>
      <c r="H53">
        <v>0.62909999999999999</v>
      </c>
      <c r="I53">
        <v>11243.9043</v>
      </c>
      <c r="J53" t="s">
        <v>372</v>
      </c>
    </row>
    <row r="54" spans="1:10" x14ac:dyDescent="0.35">
      <c r="A54" t="s">
        <v>437</v>
      </c>
      <c r="B54" t="s">
        <v>196</v>
      </c>
      <c r="C54" t="s">
        <v>384</v>
      </c>
      <c r="D54">
        <v>9</v>
      </c>
      <c r="E54" t="s">
        <v>403</v>
      </c>
      <c r="F54">
        <v>2023</v>
      </c>
      <c r="G54">
        <v>469.83</v>
      </c>
      <c r="H54">
        <v>0.46160000000000001</v>
      </c>
      <c r="I54">
        <v>21687.352800000001</v>
      </c>
      <c r="J54" t="s">
        <v>372</v>
      </c>
    </row>
    <row r="55" spans="1:10" x14ac:dyDescent="0.35">
      <c r="A55" t="s">
        <v>438</v>
      </c>
      <c r="B55" t="s">
        <v>259</v>
      </c>
      <c r="C55" t="s">
        <v>384</v>
      </c>
      <c r="D55">
        <v>5</v>
      </c>
      <c r="E55" t="s">
        <v>417</v>
      </c>
      <c r="F55">
        <v>2024</v>
      </c>
      <c r="G55">
        <v>243.35</v>
      </c>
      <c r="H55">
        <v>0.4572</v>
      </c>
      <c r="I55">
        <v>11125.962</v>
      </c>
      <c r="J55" t="s">
        <v>372</v>
      </c>
    </row>
    <row r="56" spans="1:10" x14ac:dyDescent="0.35">
      <c r="A56" t="s">
        <v>439</v>
      </c>
      <c r="B56" t="s">
        <v>173</v>
      </c>
      <c r="C56" t="s">
        <v>384</v>
      </c>
      <c r="D56">
        <v>8</v>
      </c>
      <c r="E56" t="s">
        <v>377</v>
      </c>
      <c r="F56">
        <v>2022</v>
      </c>
      <c r="G56">
        <v>19.690000000000001</v>
      </c>
      <c r="H56">
        <v>0.31090000000000001</v>
      </c>
      <c r="I56">
        <v>612.16210000000001</v>
      </c>
      <c r="J56" t="s">
        <v>372</v>
      </c>
    </row>
    <row r="57" spans="1:10" x14ac:dyDescent="0.35">
      <c r="A57" t="s">
        <v>440</v>
      </c>
      <c r="B57" t="s">
        <v>241</v>
      </c>
      <c r="C57" t="s">
        <v>374</v>
      </c>
      <c r="D57">
        <v>4</v>
      </c>
      <c r="E57" t="s">
        <v>394</v>
      </c>
      <c r="F57">
        <v>2022</v>
      </c>
      <c r="G57">
        <v>386.07</v>
      </c>
      <c r="H57">
        <v>0.56740000000000002</v>
      </c>
      <c r="I57">
        <v>21905.611799999999</v>
      </c>
      <c r="J57" t="s">
        <v>372</v>
      </c>
    </row>
    <row r="58" spans="1:10" x14ac:dyDescent="0.35">
      <c r="A58" t="s">
        <v>441</v>
      </c>
      <c r="B58" t="s">
        <v>253</v>
      </c>
      <c r="C58" t="s">
        <v>374</v>
      </c>
      <c r="D58">
        <v>10</v>
      </c>
      <c r="E58" t="s">
        <v>387</v>
      </c>
      <c r="F58">
        <v>2024</v>
      </c>
      <c r="G58">
        <v>61.38</v>
      </c>
      <c r="H58">
        <v>0.7571</v>
      </c>
      <c r="I58">
        <v>4647.0798000000004</v>
      </c>
      <c r="J58" t="s">
        <v>372</v>
      </c>
    </row>
    <row r="59" spans="1:10" x14ac:dyDescent="0.35">
      <c r="A59" t="s">
        <v>442</v>
      </c>
      <c r="B59" t="s">
        <v>279</v>
      </c>
      <c r="C59" t="s">
        <v>384</v>
      </c>
      <c r="D59">
        <v>8</v>
      </c>
      <c r="E59" t="s">
        <v>377</v>
      </c>
      <c r="F59">
        <v>2024</v>
      </c>
      <c r="G59">
        <v>364.3</v>
      </c>
      <c r="H59">
        <v>0.30769999999999997</v>
      </c>
      <c r="I59">
        <v>11209.510999999999</v>
      </c>
      <c r="J59" t="s">
        <v>372</v>
      </c>
    </row>
    <row r="60" spans="1:10" x14ac:dyDescent="0.35">
      <c r="A60" t="s">
        <v>443</v>
      </c>
      <c r="B60" t="s">
        <v>244</v>
      </c>
      <c r="C60" t="s">
        <v>384</v>
      </c>
      <c r="D60">
        <v>3</v>
      </c>
      <c r="E60" t="s">
        <v>391</v>
      </c>
      <c r="F60">
        <v>2024</v>
      </c>
      <c r="G60">
        <v>473.08</v>
      </c>
      <c r="H60">
        <v>0.188</v>
      </c>
      <c r="I60">
        <v>8893.9039999999986</v>
      </c>
      <c r="J60" t="s">
        <v>372</v>
      </c>
    </row>
    <row r="61" spans="1:10" x14ac:dyDescent="0.35">
      <c r="A61" t="s">
        <v>444</v>
      </c>
      <c r="B61" t="s">
        <v>316</v>
      </c>
      <c r="C61" t="s">
        <v>370</v>
      </c>
      <c r="D61">
        <v>4</v>
      </c>
      <c r="E61" t="s">
        <v>394</v>
      </c>
      <c r="F61">
        <v>2024</v>
      </c>
      <c r="G61">
        <v>217.3</v>
      </c>
      <c r="H61">
        <v>0.66739999999999999</v>
      </c>
      <c r="I61">
        <v>14502.602000000003</v>
      </c>
      <c r="J61" t="s">
        <v>372</v>
      </c>
    </row>
    <row r="62" spans="1:10" x14ac:dyDescent="0.35">
      <c r="A62" t="s">
        <v>445</v>
      </c>
      <c r="B62" t="s">
        <v>237</v>
      </c>
      <c r="C62" t="s">
        <v>384</v>
      </c>
      <c r="D62">
        <v>3</v>
      </c>
      <c r="E62" t="s">
        <v>391</v>
      </c>
      <c r="F62">
        <v>2023</v>
      </c>
      <c r="G62">
        <v>391.31</v>
      </c>
      <c r="H62">
        <v>0.68540000000000001</v>
      </c>
      <c r="I62">
        <v>26820.3874</v>
      </c>
      <c r="J62" t="s">
        <v>372</v>
      </c>
    </row>
    <row r="63" spans="1:10" x14ac:dyDescent="0.35">
      <c r="A63" t="s">
        <v>446</v>
      </c>
      <c r="B63" t="s">
        <v>150</v>
      </c>
      <c r="C63" t="s">
        <v>384</v>
      </c>
      <c r="D63">
        <v>8</v>
      </c>
      <c r="E63" t="s">
        <v>377</v>
      </c>
      <c r="F63">
        <v>2023</v>
      </c>
      <c r="G63">
        <v>476.31</v>
      </c>
      <c r="H63">
        <v>0.14199999999999999</v>
      </c>
      <c r="I63">
        <v>6763.601999999999</v>
      </c>
      <c r="J63" t="s">
        <v>372</v>
      </c>
    </row>
    <row r="64" spans="1:10" x14ac:dyDescent="0.35">
      <c r="A64" t="s">
        <v>447</v>
      </c>
      <c r="B64" t="s">
        <v>74</v>
      </c>
      <c r="C64" t="s">
        <v>370</v>
      </c>
      <c r="D64">
        <v>11</v>
      </c>
      <c r="E64" t="s">
        <v>371</v>
      </c>
      <c r="F64">
        <v>2024</v>
      </c>
      <c r="G64">
        <v>10.96</v>
      </c>
      <c r="H64">
        <v>0.42030000000000001</v>
      </c>
      <c r="I64">
        <v>460.64880000000005</v>
      </c>
      <c r="J64" t="s">
        <v>372</v>
      </c>
    </row>
    <row r="65" spans="1:10" x14ac:dyDescent="0.35">
      <c r="A65" t="s">
        <v>448</v>
      </c>
      <c r="B65" t="s">
        <v>70</v>
      </c>
      <c r="C65" t="s">
        <v>370</v>
      </c>
      <c r="D65">
        <v>1</v>
      </c>
      <c r="E65" t="s">
        <v>381</v>
      </c>
      <c r="F65">
        <v>2023</v>
      </c>
      <c r="G65">
        <v>193.71</v>
      </c>
      <c r="H65">
        <v>0.1211</v>
      </c>
      <c r="I65">
        <v>2345.8280999999997</v>
      </c>
      <c r="J65" t="s">
        <v>372</v>
      </c>
    </row>
    <row r="66" spans="1:10" x14ac:dyDescent="0.35">
      <c r="A66" t="s">
        <v>449</v>
      </c>
      <c r="B66" t="s">
        <v>171</v>
      </c>
      <c r="C66" t="s">
        <v>374</v>
      </c>
      <c r="D66">
        <v>2</v>
      </c>
      <c r="E66" t="s">
        <v>389</v>
      </c>
      <c r="F66">
        <v>2023</v>
      </c>
      <c r="G66">
        <v>89.7</v>
      </c>
      <c r="H66">
        <v>0.15529999999999999</v>
      </c>
      <c r="I66">
        <v>1393.0409999999999</v>
      </c>
      <c r="J66" t="s">
        <v>372</v>
      </c>
    </row>
    <row r="67" spans="1:10" x14ac:dyDescent="0.35">
      <c r="A67" t="s">
        <v>450</v>
      </c>
      <c r="B67" t="s">
        <v>309</v>
      </c>
      <c r="C67" t="s">
        <v>384</v>
      </c>
      <c r="D67">
        <v>4</v>
      </c>
      <c r="E67" t="s">
        <v>394</v>
      </c>
      <c r="F67">
        <v>2023</v>
      </c>
      <c r="G67">
        <v>154.31</v>
      </c>
      <c r="H67">
        <v>0.23330000000000001</v>
      </c>
      <c r="I67">
        <v>3600.0523000000003</v>
      </c>
      <c r="J67" t="s">
        <v>372</v>
      </c>
    </row>
    <row r="68" spans="1:10" x14ac:dyDescent="0.35">
      <c r="A68" t="s">
        <v>451</v>
      </c>
      <c r="B68" t="s">
        <v>328</v>
      </c>
      <c r="C68" t="s">
        <v>374</v>
      </c>
      <c r="D68">
        <v>9</v>
      </c>
      <c r="E68" t="s">
        <v>403</v>
      </c>
      <c r="F68">
        <v>2024</v>
      </c>
      <c r="G68">
        <v>205.48</v>
      </c>
      <c r="H68">
        <v>0.66159999999999997</v>
      </c>
      <c r="I68">
        <v>13594.556799999998</v>
      </c>
      <c r="J68" t="s">
        <v>372</v>
      </c>
    </row>
    <row r="69" spans="1:10" x14ac:dyDescent="0.35">
      <c r="A69" t="s">
        <v>452</v>
      </c>
      <c r="B69" t="s">
        <v>35</v>
      </c>
      <c r="C69" t="s">
        <v>384</v>
      </c>
      <c r="D69">
        <v>7</v>
      </c>
      <c r="E69" t="s">
        <v>375</v>
      </c>
      <c r="F69">
        <v>2024</v>
      </c>
      <c r="G69">
        <v>102.36</v>
      </c>
      <c r="H69">
        <v>0.75639999999999996</v>
      </c>
      <c r="I69">
        <v>7742.5103999999992</v>
      </c>
      <c r="J69" t="s">
        <v>372</v>
      </c>
    </row>
    <row r="70" spans="1:10" x14ac:dyDescent="0.35">
      <c r="A70" t="s">
        <v>453</v>
      </c>
      <c r="B70" t="s">
        <v>354</v>
      </c>
      <c r="C70" t="s">
        <v>374</v>
      </c>
      <c r="D70">
        <v>1</v>
      </c>
      <c r="E70" t="s">
        <v>381</v>
      </c>
      <c r="F70">
        <v>2022</v>
      </c>
      <c r="G70">
        <v>0</v>
      </c>
      <c r="H70">
        <v>0.33529999999999999</v>
      </c>
      <c r="I70">
        <v>0</v>
      </c>
      <c r="J70" t="s">
        <v>423</v>
      </c>
    </row>
    <row r="71" spans="1:10" x14ac:dyDescent="0.35">
      <c r="A71" t="s">
        <v>454</v>
      </c>
      <c r="B71" t="s">
        <v>219</v>
      </c>
      <c r="C71" t="s">
        <v>384</v>
      </c>
      <c r="D71">
        <v>7</v>
      </c>
      <c r="E71" t="s">
        <v>375</v>
      </c>
      <c r="F71">
        <v>2023</v>
      </c>
      <c r="G71">
        <v>91.97</v>
      </c>
      <c r="H71">
        <v>0.5333</v>
      </c>
      <c r="I71">
        <v>4904.7601000000004</v>
      </c>
      <c r="J71" t="s">
        <v>372</v>
      </c>
    </row>
    <row r="72" spans="1:10" x14ac:dyDescent="0.35">
      <c r="A72" t="s">
        <v>455</v>
      </c>
      <c r="B72" t="s">
        <v>150</v>
      </c>
      <c r="C72" t="s">
        <v>384</v>
      </c>
      <c r="D72">
        <v>4</v>
      </c>
      <c r="E72" t="s">
        <v>394</v>
      </c>
      <c r="F72">
        <v>2024</v>
      </c>
      <c r="G72">
        <v>109.36</v>
      </c>
      <c r="H72">
        <v>0.2873</v>
      </c>
      <c r="I72">
        <v>3141.9128000000001</v>
      </c>
      <c r="J72" t="s">
        <v>372</v>
      </c>
    </row>
    <row r="73" spans="1:10" x14ac:dyDescent="0.35">
      <c r="A73" t="s">
        <v>456</v>
      </c>
      <c r="B73" t="s">
        <v>175</v>
      </c>
      <c r="C73" t="s">
        <v>374</v>
      </c>
      <c r="D73">
        <v>1</v>
      </c>
      <c r="E73" t="s">
        <v>381</v>
      </c>
      <c r="F73">
        <v>2022</v>
      </c>
      <c r="G73">
        <v>147.28</v>
      </c>
      <c r="H73">
        <v>0.55489999999999995</v>
      </c>
      <c r="I73">
        <v>8172.5671999999986</v>
      </c>
      <c r="J73" t="s">
        <v>372</v>
      </c>
    </row>
    <row r="74" spans="1:10" x14ac:dyDescent="0.35">
      <c r="A74" t="s">
        <v>457</v>
      </c>
      <c r="B74" t="s">
        <v>147</v>
      </c>
      <c r="C74" t="s">
        <v>384</v>
      </c>
      <c r="D74">
        <v>8</v>
      </c>
      <c r="E74" t="s">
        <v>377</v>
      </c>
      <c r="F74">
        <v>2023</v>
      </c>
      <c r="G74">
        <v>396.74</v>
      </c>
      <c r="H74">
        <v>0.27010000000000001</v>
      </c>
      <c r="I74">
        <v>10715.947400000001</v>
      </c>
      <c r="J74" t="s">
        <v>372</v>
      </c>
    </row>
    <row r="75" spans="1:10" x14ac:dyDescent="0.35">
      <c r="A75" t="s">
        <v>458</v>
      </c>
      <c r="B75" t="s">
        <v>342</v>
      </c>
      <c r="C75" t="s">
        <v>374</v>
      </c>
      <c r="D75">
        <v>4</v>
      </c>
      <c r="E75" t="s">
        <v>394</v>
      </c>
      <c r="F75">
        <v>2023</v>
      </c>
      <c r="G75">
        <v>380.77</v>
      </c>
      <c r="H75">
        <v>0.2001</v>
      </c>
      <c r="I75">
        <v>7619.2076999999999</v>
      </c>
      <c r="J75" t="s">
        <v>372</v>
      </c>
    </row>
    <row r="76" spans="1:10" x14ac:dyDescent="0.35">
      <c r="A76" t="s">
        <v>459</v>
      </c>
      <c r="B76" t="s">
        <v>105</v>
      </c>
      <c r="C76" t="s">
        <v>384</v>
      </c>
      <c r="D76">
        <v>7</v>
      </c>
      <c r="E76" t="s">
        <v>375</v>
      </c>
      <c r="F76">
        <v>2024</v>
      </c>
      <c r="G76">
        <v>333.17</v>
      </c>
      <c r="H76">
        <v>0.21260000000000001</v>
      </c>
      <c r="I76">
        <v>7083.1942000000008</v>
      </c>
      <c r="J76" t="s">
        <v>372</v>
      </c>
    </row>
    <row r="77" spans="1:10" x14ac:dyDescent="0.35">
      <c r="A77" t="s">
        <v>460</v>
      </c>
      <c r="B77" t="s">
        <v>140</v>
      </c>
      <c r="C77" t="s">
        <v>384</v>
      </c>
      <c r="D77">
        <v>2</v>
      </c>
      <c r="E77" t="s">
        <v>389</v>
      </c>
      <c r="F77">
        <v>2024</v>
      </c>
      <c r="G77">
        <v>97.02</v>
      </c>
      <c r="H77">
        <v>0.75290000000000001</v>
      </c>
      <c r="I77">
        <v>7304.6358</v>
      </c>
      <c r="J77" t="s">
        <v>372</v>
      </c>
    </row>
    <row r="78" spans="1:10" x14ac:dyDescent="0.35">
      <c r="A78" t="s">
        <v>461</v>
      </c>
      <c r="B78" t="s">
        <v>265</v>
      </c>
      <c r="C78" t="s">
        <v>384</v>
      </c>
      <c r="D78">
        <v>3</v>
      </c>
      <c r="E78" t="s">
        <v>391</v>
      </c>
      <c r="F78">
        <v>2023</v>
      </c>
      <c r="G78">
        <v>16.27</v>
      </c>
      <c r="H78">
        <v>0.63759999999999994</v>
      </c>
      <c r="I78">
        <v>1037.3751999999999</v>
      </c>
      <c r="J78" t="s">
        <v>372</v>
      </c>
    </row>
    <row r="79" spans="1:10" x14ac:dyDescent="0.35">
      <c r="A79" t="s">
        <v>462</v>
      </c>
      <c r="B79" t="s">
        <v>154</v>
      </c>
      <c r="C79" t="s">
        <v>370</v>
      </c>
      <c r="D79">
        <v>1</v>
      </c>
      <c r="E79" t="s">
        <v>381</v>
      </c>
      <c r="F79">
        <v>2024</v>
      </c>
      <c r="G79">
        <v>375.35</v>
      </c>
      <c r="H79">
        <v>0.71630000000000005</v>
      </c>
      <c r="I79">
        <v>26886.320500000005</v>
      </c>
      <c r="J79" t="s">
        <v>372</v>
      </c>
    </row>
    <row r="80" spans="1:10" x14ac:dyDescent="0.35">
      <c r="A80" t="s">
        <v>463</v>
      </c>
      <c r="B80" t="s">
        <v>279</v>
      </c>
      <c r="C80" t="s">
        <v>374</v>
      </c>
      <c r="D80">
        <v>5</v>
      </c>
      <c r="E80" t="s">
        <v>417</v>
      </c>
      <c r="F80">
        <v>2024</v>
      </c>
      <c r="G80">
        <v>311.44</v>
      </c>
      <c r="H80">
        <v>0.60550000000000004</v>
      </c>
      <c r="I80">
        <v>18857.691999999999</v>
      </c>
      <c r="J80" t="s">
        <v>372</v>
      </c>
    </row>
    <row r="81" spans="1:10" x14ac:dyDescent="0.35">
      <c r="A81" t="s">
        <v>464</v>
      </c>
      <c r="B81" t="s">
        <v>35</v>
      </c>
      <c r="C81" t="s">
        <v>374</v>
      </c>
      <c r="D81">
        <v>10</v>
      </c>
      <c r="E81" t="s">
        <v>387</v>
      </c>
      <c r="F81">
        <v>2023</v>
      </c>
      <c r="G81">
        <v>416.65</v>
      </c>
      <c r="H81">
        <v>0.43880000000000002</v>
      </c>
      <c r="I81">
        <v>18282.601999999999</v>
      </c>
      <c r="J81" t="s">
        <v>372</v>
      </c>
    </row>
    <row r="82" spans="1:10" x14ac:dyDescent="0.35">
      <c r="A82" t="s">
        <v>465</v>
      </c>
      <c r="B82" t="s">
        <v>119</v>
      </c>
      <c r="C82" t="s">
        <v>370</v>
      </c>
      <c r="D82">
        <v>1</v>
      </c>
      <c r="E82" t="s">
        <v>381</v>
      </c>
      <c r="F82">
        <v>2022</v>
      </c>
      <c r="G82">
        <v>256.08999999999997</v>
      </c>
      <c r="H82">
        <v>0.62339999999999995</v>
      </c>
      <c r="I82">
        <v>15964.650599999995</v>
      </c>
      <c r="J82" t="s">
        <v>372</v>
      </c>
    </row>
    <row r="83" spans="1:10" x14ac:dyDescent="0.35">
      <c r="A83" t="s">
        <v>466</v>
      </c>
      <c r="B83" t="s">
        <v>231</v>
      </c>
      <c r="C83" t="s">
        <v>370</v>
      </c>
      <c r="D83">
        <v>4</v>
      </c>
      <c r="E83" t="s">
        <v>394</v>
      </c>
      <c r="F83">
        <v>2022</v>
      </c>
      <c r="G83">
        <v>108.94</v>
      </c>
      <c r="H83">
        <v>0.71689999999999998</v>
      </c>
      <c r="I83">
        <v>7809.9085999999998</v>
      </c>
      <c r="J83" t="s">
        <v>372</v>
      </c>
    </row>
    <row r="84" spans="1:10" x14ac:dyDescent="0.35">
      <c r="A84" t="s">
        <v>467</v>
      </c>
      <c r="B84" t="s">
        <v>244</v>
      </c>
      <c r="C84" t="s">
        <v>384</v>
      </c>
      <c r="D84">
        <v>8</v>
      </c>
      <c r="E84" t="s">
        <v>377</v>
      </c>
      <c r="F84">
        <v>2024</v>
      </c>
      <c r="G84">
        <v>395.04</v>
      </c>
      <c r="H84">
        <v>0.33910000000000001</v>
      </c>
      <c r="I84">
        <v>13395.806400000001</v>
      </c>
      <c r="J84" t="s">
        <v>372</v>
      </c>
    </row>
    <row r="85" spans="1:10" x14ac:dyDescent="0.35">
      <c r="A85" t="s">
        <v>468</v>
      </c>
      <c r="B85" t="s">
        <v>307</v>
      </c>
      <c r="C85" t="s">
        <v>370</v>
      </c>
      <c r="D85">
        <v>9</v>
      </c>
      <c r="E85" t="s">
        <v>403</v>
      </c>
      <c r="F85">
        <v>2024</v>
      </c>
      <c r="G85">
        <v>281.27</v>
      </c>
      <c r="H85">
        <v>0.32819999999999999</v>
      </c>
      <c r="I85">
        <v>9231.281399999998</v>
      </c>
      <c r="J85" t="s">
        <v>372</v>
      </c>
    </row>
    <row r="86" spans="1:10" x14ac:dyDescent="0.35">
      <c r="A86" t="s">
        <v>469</v>
      </c>
      <c r="B86" t="s">
        <v>32</v>
      </c>
      <c r="C86" t="s">
        <v>384</v>
      </c>
      <c r="D86">
        <v>7</v>
      </c>
      <c r="E86" t="s">
        <v>375</v>
      </c>
      <c r="F86">
        <v>2023</v>
      </c>
      <c r="G86">
        <v>301.64</v>
      </c>
      <c r="H86">
        <v>0.74839999999999995</v>
      </c>
      <c r="I86">
        <v>22574.737599999997</v>
      </c>
      <c r="J86" t="s">
        <v>372</v>
      </c>
    </row>
    <row r="87" spans="1:10" x14ac:dyDescent="0.35">
      <c r="A87" t="s">
        <v>470</v>
      </c>
      <c r="B87" t="s">
        <v>345</v>
      </c>
      <c r="C87" t="s">
        <v>370</v>
      </c>
      <c r="D87">
        <v>8</v>
      </c>
      <c r="E87" t="s">
        <v>377</v>
      </c>
      <c r="F87">
        <v>2022</v>
      </c>
      <c r="G87">
        <v>91.77</v>
      </c>
      <c r="H87">
        <v>0.218</v>
      </c>
      <c r="I87">
        <v>2000.5859999999998</v>
      </c>
      <c r="J87" t="s">
        <v>372</v>
      </c>
    </row>
    <row r="88" spans="1:10" x14ac:dyDescent="0.35">
      <c r="A88" t="s">
        <v>471</v>
      </c>
      <c r="B88" t="s">
        <v>200</v>
      </c>
      <c r="C88" t="s">
        <v>370</v>
      </c>
      <c r="D88">
        <v>7</v>
      </c>
      <c r="E88" t="s">
        <v>375</v>
      </c>
      <c r="F88">
        <v>2023</v>
      </c>
      <c r="G88">
        <v>366.06</v>
      </c>
      <c r="H88">
        <v>0.29299999999999998</v>
      </c>
      <c r="I88">
        <v>10725.557999999999</v>
      </c>
      <c r="J88" t="s">
        <v>372</v>
      </c>
    </row>
    <row r="89" spans="1:10" x14ac:dyDescent="0.35">
      <c r="A89" t="s">
        <v>472</v>
      </c>
      <c r="B89" t="s">
        <v>198</v>
      </c>
      <c r="C89" t="s">
        <v>384</v>
      </c>
      <c r="D89">
        <v>4</v>
      </c>
      <c r="E89" t="s">
        <v>394</v>
      </c>
      <c r="F89">
        <v>2023</v>
      </c>
      <c r="G89">
        <v>56.04</v>
      </c>
      <c r="H89">
        <v>0.59950000000000003</v>
      </c>
      <c r="I89">
        <v>3359.5980000000004</v>
      </c>
      <c r="J89" t="s">
        <v>372</v>
      </c>
    </row>
    <row r="90" spans="1:10" x14ac:dyDescent="0.35">
      <c r="A90" t="s">
        <v>473</v>
      </c>
      <c r="B90" t="s">
        <v>259</v>
      </c>
      <c r="C90" t="s">
        <v>384</v>
      </c>
      <c r="D90">
        <v>5</v>
      </c>
      <c r="E90" t="s">
        <v>417</v>
      </c>
      <c r="F90">
        <v>2024</v>
      </c>
      <c r="G90">
        <v>246.4</v>
      </c>
      <c r="H90">
        <v>0.77290000000000003</v>
      </c>
      <c r="I90">
        <v>19044.256000000001</v>
      </c>
      <c r="J90" t="s">
        <v>372</v>
      </c>
    </row>
    <row r="91" spans="1:10" x14ac:dyDescent="0.35">
      <c r="A91" t="s">
        <v>474</v>
      </c>
      <c r="B91" t="s">
        <v>161</v>
      </c>
      <c r="C91" t="s">
        <v>370</v>
      </c>
      <c r="D91">
        <v>2</v>
      </c>
      <c r="E91" t="s">
        <v>389</v>
      </c>
      <c r="F91">
        <v>2022</v>
      </c>
      <c r="G91">
        <v>67.989999999999995</v>
      </c>
      <c r="H91">
        <v>0.79249999999999998</v>
      </c>
      <c r="I91">
        <v>5388.2074999999995</v>
      </c>
      <c r="J91" t="s">
        <v>372</v>
      </c>
    </row>
    <row r="92" spans="1:10" x14ac:dyDescent="0.35">
      <c r="A92" t="s">
        <v>475</v>
      </c>
      <c r="B92" t="s">
        <v>23</v>
      </c>
      <c r="C92" t="s">
        <v>384</v>
      </c>
      <c r="D92">
        <v>8</v>
      </c>
      <c r="E92" t="s">
        <v>377</v>
      </c>
      <c r="F92">
        <v>2023</v>
      </c>
      <c r="G92">
        <v>147.5</v>
      </c>
      <c r="H92">
        <v>0.7198</v>
      </c>
      <c r="I92">
        <v>10617.050000000001</v>
      </c>
      <c r="J92" t="s">
        <v>372</v>
      </c>
    </row>
    <row r="93" spans="1:10" x14ac:dyDescent="0.35">
      <c r="A93" t="s">
        <v>476</v>
      </c>
      <c r="B93" t="s">
        <v>12</v>
      </c>
      <c r="C93" t="s">
        <v>374</v>
      </c>
      <c r="D93">
        <v>4</v>
      </c>
      <c r="E93" t="s">
        <v>394</v>
      </c>
      <c r="F93">
        <v>2024</v>
      </c>
      <c r="G93">
        <v>102.16</v>
      </c>
      <c r="H93">
        <v>0.32479999999999998</v>
      </c>
      <c r="I93">
        <v>3318.1567999999997</v>
      </c>
      <c r="J93" t="s">
        <v>372</v>
      </c>
    </row>
    <row r="94" spans="1:10" x14ac:dyDescent="0.35">
      <c r="A94" t="s">
        <v>477</v>
      </c>
      <c r="B94" t="s">
        <v>343</v>
      </c>
      <c r="C94" t="s">
        <v>374</v>
      </c>
      <c r="D94">
        <v>2</v>
      </c>
      <c r="E94" t="s">
        <v>389</v>
      </c>
      <c r="F94">
        <v>2023</v>
      </c>
      <c r="G94">
        <v>59.92</v>
      </c>
      <c r="H94">
        <v>0.52190000000000003</v>
      </c>
      <c r="I94">
        <v>3127.2248</v>
      </c>
      <c r="J94" t="s">
        <v>372</v>
      </c>
    </row>
    <row r="95" spans="1:10" x14ac:dyDescent="0.35">
      <c r="A95" t="s">
        <v>478</v>
      </c>
      <c r="B95" t="s">
        <v>64</v>
      </c>
      <c r="C95" t="s">
        <v>384</v>
      </c>
      <c r="D95">
        <v>5</v>
      </c>
      <c r="E95" t="s">
        <v>417</v>
      </c>
      <c r="F95">
        <v>2024</v>
      </c>
      <c r="G95">
        <v>351.39</v>
      </c>
      <c r="H95">
        <v>0.75939999999999996</v>
      </c>
      <c r="I95">
        <v>26684.556599999996</v>
      </c>
      <c r="J95" t="s">
        <v>372</v>
      </c>
    </row>
    <row r="96" spans="1:10" x14ac:dyDescent="0.35">
      <c r="A96" t="s">
        <v>479</v>
      </c>
      <c r="B96" t="s">
        <v>39</v>
      </c>
      <c r="C96" t="s">
        <v>370</v>
      </c>
      <c r="D96">
        <v>5</v>
      </c>
      <c r="E96" t="s">
        <v>417</v>
      </c>
      <c r="F96">
        <v>2022</v>
      </c>
      <c r="G96">
        <v>25.1</v>
      </c>
      <c r="H96">
        <v>0.2172</v>
      </c>
      <c r="I96">
        <v>545.17200000000003</v>
      </c>
      <c r="J96" t="s">
        <v>372</v>
      </c>
    </row>
    <row r="97" spans="1:10" x14ac:dyDescent="0.35">
      <c r="A97" t="s">
        <v>480</v>
      </c>
      <c r="B97" t="s">
        <v>310</v>
      </c>
      <c r="C97" t="s">
        <v>374</v>
      </c>
      <c r="D97">
        <v>11</v>
      </c>
      <c r="E97" t="s">
        <v>371</v>
      </c>
      <c r="F97">
        <v>2022</v>
      </c>
      <c r="G97">
        <v>419.6</v>
      </c>
      <c r="H97">
        <v>0.3458</v>
      </c>
      <c r="I97">
        <v>14509.768</v>
      </c>
      <c r="J97" t="s">
        <v>372</v>
      </c>
    </row>
    <row r="98" spans="1:10" x14ac:dyDescent="0.35">
      <c r="A98" t="s">
        <v>481</v>
      </c>
      <c r="B98" t="s">
        <v>26</v>
      </c>
      <c r="C98" t="s">
        <v>370</v>
      </c>
      <c r="D98">
        <v>7</v>
      </c>
      <c r="E98" t="s">
        <v>375</v>
      </c>
      <c r="F98">
        <v>2024</v>
      </c>
      <c r="G98">
        <v>326.18</v>
      </c>
      <c r="H98">
        <v>0.84989999999999999</v>
      </c>
      <c r="I98">
        <v>27722.038200000003</v>
      </c>
      <c r="J98" t="s">
        <v>372</v>
      </c>
    </row>
    <row r="99" spans="1:10" x14ac:dyDescent="0.35">
      <c r="A99" t="s">
        <v>482</v>
      </c>
      <c r="B99" t="s">
        <v>135</v>
      </c>
      <c r="C99" t="s">
        <v>374</v>
      </c>
      <c r="D99">
        <v>3</v>
      </c>
      <c r="E99" t="s">
        <v>391</v>
      </c>
      <c r="F99">
        <v>2022</v>
      </c>
      <c r="G99">
        <v>367.16</v>
      </c>
      <c r="H99">
        <v>0.30570000000000003</v>
      </c>
      <c r="I99">
        <v>11224.081200000002</v>
      </c>
      <c r="J99" t="s">
        <v>372</v>
      </c>
    </row>
    <row r="100" spans="1:10" x14ac:dyDescent="0.35">
      <c r="A100" t="s">
        <v>483</v>
      </c>
      <c r="B100" t="s">
        <v>239</v>
      </c>
      <c r="C100" t="s">
        <v>370</v>
      </c>
      <c r="D100">
        <v>7</v>
      </c>
      <c r="E100" t="s">
        <v>375</v>
      </c>
      <c r="F100">
        <v>2023</v>
      </c>
      <c r="G100">
        <v>239.94</v>
      </c>
      <c r="H100">
        <v>0.216</v>
      </c>
      <c r="I100">
        <v>5182.7039999999997</v>
      </c>
      <c r="J100" t="s">
        <v>372</v>
      </c>
    </row>
    <row r="101" spans="1:10" x14ac:dyDescent="0.35">
      <c r="A101" t="s">
        <v>484</v>
      </c>
      <c r="B101" t="s">
        <v>345</v>
      </c>
      <c r="C101" t="s">
        <v>370</v>
      </c>
      <c r="D101">
        <v>5</v>
      </c>
      <c r="E101" t="s">
        <v>417</v>
      </c>
      <c r="F101">
        <v>2024</v>
      </c>
      <c r="G101">
        <v>345.65</v>
      </c>
      <c r="H101">
        <v>0.3231</v>
      </c>
      <c r="I101">
        <v>11167.951499999999</v>
      </c>
      <c r="J101" t="s">
        <v>372</v>
      </c>
    </row>
    <row r="102" spans="1:10" x14ac:dyDescent="0.35">
      <c r="A102" t="s">
        <v>485</v>
      </c>
      <c r="B102" t="s">
        <v>113</v>
      </c>
      <c r="C102" t="s">
        <v>370</v>
      </c>
      <c r="D102">
        <v>2</v>
      </c>
      <c r="E102" t="s">
        <v>389</v>
      </c>
      <c r="F102">
        <v>2023</v>
      </c>
      <c r="G102">
        <v>50.2</v>
      </c>
      <c r="H102">
        <v>0.2157</v>
      </c>
      <c r="I102">
        <v>1082.8140000000001</v>
      </c>
      <c r="J102" t="s">
        <v>372</v>
      </c>
    </row>
    <row r="103" spans="1:10" x14ac:dyDescent="0.35">
      <c r="A103" t="s">
        <v>486</v>
      </c>
      <c r="B103" t="s">
        <v>202</v>
      </c>
      <c r="C103" t="s">
        <v>384</v>
      </c>
      <c r="D103">
        <v>12</v>
      </c>
      <c r="E103" t="s">
        <v>487</v>
      </c>
      <c r="F103">
        <v>2023</v>
      </c>
      <c r="G103">
        <v>1.77</v>
      </c>
      <c r="H103">
        <v>0.57879999999999998</v>
      </c>
      <c r="I103">
        <v>102.44759999999999</v>
      </c>
      <c r="J103" t="s">
        <v>372</v>
      </c>
    </row>
    <row r="104" spans="1:10" x14ac:dyDescent="0.35">
      <c r="A104" t="s">
        <v>488</v>
      </c>
      <c r="B104" t="s">
        <v>206</v>
      </c>
      <c r="C104" t="s">
        <v>370</v>
      </c>
      <c r="D104">
        <v>6</v>
      </c>
      <c r="E104" t="s">
        <v>379</v>
      </c>
      <c r="F104">
        <v>2024</v>
      </c>
      <c r="G104">
        <v>265.33</v>
      </c>
      <c r="H104">
        <v>0.52370000000000005</v>
      </c>
      <c r="I104">
        <v>13895.332100000001</v>
      </c>
      <c r="J104" t="s">
        <v>372</v>
      </c>
    </row>
    <row r="105" spans="1:10" x14ac:dyDescent="0.35">
      <c r="A105" t="s">
        <v>489</v>
      </c>
      <c r="B105" t="s">
        <v>227</v>
      </c>
      <c r="C105" t="s">
        <v>370</v>
      </c>
      <c r="D105">
        <v>1</v>
      </c>
      <c r="E105" t="s">
        <v>381</v>
      </c>
      <c r="F105">
        <v>2022</v>
      </c>
      <c r="G105">
        <v>425.55</v>
      </c>
      <c r="H105">
        <v>0.69969999999999999</v>
      </c>
      <c r="I105">
        <v>29775.733500000002</v>
      </c>
      <c r="J105" t="s">
        <v>372</v>
      </c>
    </row>
    <row r="106" spans="1:10" x14ac:dyDescent="0.35">
      <c r="A106" t="s">
        <v>490</v>
      </c>
      <c r="B106" t="s">
        <v>143</v>
      </c>
      <c r="C106" t="s">
        <v>374</v>
      </c>
      <c r="D106">
        <v>3</v>
      </c>
      <c r="E106" t="s">
        <v>391</v>
      </c>
      <c r="F106">
        <v>2024</v>
      </c>
      <c r="G106">
        <v>454.39</v>
      </c>
      <c r="H106">
        <v>0.40339999999999998</v>
      </c>
      <c r="I106">
        <v>18330.092599999996</v>
      </c>
      <c r="J106" t="s">
        <v>372</v>
      </c>
    </row>
    <row r="107" spans="1:10" x14ac:dyDescent="0.35">
      <c r="A107" t="s">
        <v>491</v>
      </c>
      <c r="B107" t="s">
        <v>262</v>
      </c>
      <c r="C107" t="s">
        <v>370</v>
      </c>
      <c r="D107">
        <v>2</v>
      </c>
      <c r="E107" t="s">
        <v>389</v>
      </c>
      <c r="F107">
        <v>2022</v>
      </c>
      <c r="G107">
        <v>192.02</v>
      </c>
      <c r="H107">
        <v>0.84330000000000005</v>
      </c>
      <c r="I107">
        <v>16193.046600000001</v>
      </c>
      <c r="J107" t="s">
        <v>372</v>
      </c>
    </row>
    <row r="108" spans="1:10" x14ac:dyDescent="0.35">
      <c r="A108" t="s">
        <v>492</v>
      </c>
      <c r="B108" t="s">
        <v>239</v>
      </c>
      <c r="C108" t="s">
        <v>384</v>
      </c>
      <c r="D108">
        <v>5</v>
      </c>
      <c r="E108" t="s">
        <v>417</v>
      </c>
      <c r="F108">
        <v>2023</v>
      </c>
      <c r="G108">
        <v>427.6</v>
      </c>
      <c r="H108">
        <v>0.37019999999999997</v>
      </c>
      <c r="I108">
        <v>15829.751999999999</v>
      </c>
      <c r="J108" t="s">
        <v>372</v>
      </c>
    </row>
    <row r="109" spans="1:10" x14ac:dyDescent="0.35">
      <c r="A109" t="s">
        <v>493</v>
      </c>
      <c r="B109" t="s">
        <v>231</v>
      </c>
      <c r="C109" t="s">
        <v>374</v>
      </c>
      <c r="D109">
        <v>6</v>
      </c>
      <c r="E109" t="s">
        <v>379</v>
      </c>
      <c r="F109">
        <v>2024</v>
      </c>
      <c r="G109">
        <v>44.96</v>
      </c>
      <c r="H109">
        <v>0.2215</v>
      </c>
      <c r="I109">
        <v>995.86400000000003</v>
      </c>
      <c r="J109" t="s">
        <v>372</v>
      </c>
    </row>
    <row r="110" spans="1:10" x14ac:dyDescent="0.35">
      <c r="A110" t="s">
        <v>494</v>
      </c>
      <c r="B110" t="s">
        <v>216</v>
      </c>
      <c r="C110" t="s">
        <v>370</v>
      </c>
      <c r="D110">
        <v>4</v>
      </c>
      <c r="E110" t="s">
        <v>394</v>
      </c>
      <c r="F110">
        <v>2022</v>
      </c>
      <c r="G110">
        <v>378.8</v>
      </c>
      <c r="H110">
        <v>0.49790000000000001</v>
      </c>
      <c r="I110">
        <v>18860.452000000001</v>
      </c>
      <c r="J110" t="s">
        <v>372</v>
      </c>
    </row>
    <row r="111" spans="1:10" x14ac:dyDescent="0.35">
      <c r="A111" t="s">
        <v>495</v>
      </c>
      <c r="B111" t="s">
        <v>227</v>
      </c>
      <c r="C111" t="s">
        <v>370</v>
      </c>
      <c r="D111">
        <v>1</v>
      </c>
      <c r="E111" t="s">
        <v>381</v>
      </c>
      <c r="F111">
        <v>2022</v>
      </c>
      <c r="G111">
        <v>199.26</v>
      </c>
      <c r="H111">
        <v>0.39929999999999999</v>
      </c>
      <c r="I111">
        <v>7956.4517999999989</v>
      </c>
      <c r="J111" t="s">
        <v>372</v>
      </c>
    </row>
    <row r="112" spans="1:10" x14ac:dyDescent="0.35">
      <c r="A112" t="s">
        <v>496</v>
      </c>
      <c r="B112" t="s">
        <v>210</v>
      </c>
      <c r="C112" t="s">
        <v>374</v>
      </c>
      <c r="D112">
        <v>12</v>
      </c>
      <c r="E112" t="s">
        <v>487</v>
      </c>
      <c r="F112">
        <v>2023</v>
      </c>
      <c r="G112">
        <v>284.64</v>
      </c>
      <c r="H112">
        <v>0.80089999999999995</v>
      </c>
      <c r="I112">
        <v>22796.817599999998</v>
      </c>
      <c r="J112" t="s">
        <v>372</v>
      </c>
    </row>
    <row r="113" spans="1:10" x14ac:dyDescent="0.35">
      <c r="A113" t="s">
        <v>497</v>
      </c>
      <c r="B113" t="s">
        <v>305</v>
      </c>
      <c r="C113" t="s">
        <v>374</v>
      </c>
      <c r="D113">
        <v>7</v>
      </c>
      <c r="E113" t="s">
        <v>375</v>
      </c>
      <c r="F113">
        <v>2022</v>
      </c>
      <c r="G113">
        <v>41.33</v>
      </c>
      <c r="H113">
        <v>0.72789999999999999</v>
      </c>
      <c r="I113">
        <v>3008.4106999999999</v>
      </c>
      <c r="J113" t="s">
        <v>372</v>
      </c>
    </row>
    <row r="114" spans="1:10" x14ac:dyDescent="0.35">
      <c r="A114" t="s">
        <v>498</v>
      </c>
      <c r="B114" t="s">
        <v>267</v>
      </c>
      <c r="C114" t="s">
        <v>374</v>
      </c>
      <c r="D114">
        <v>1</v>
      </c>
      <c r="E114" t="s">
        <v>381</v>
      </c>
      <c r="F114">
        <v>2022</v>
      </c>
      <c r="G114">
        <v>481.25</v>
      </c>
      <c r="H114">
        <v>0.16</v>
      </c>
      <c r="I114">
        <v>7700</v>
      </c>
      <c r="J114" t="s">
        <v>372</v>
      </c>
    </row>
    <row r="115" spans="1:10" x14ac:dyDescent="0.35">
      <c r="A115" t="s">
        <v>499</v>
      </c>
      <c r="B115" t="s">
        <v>292</v>
      </c>
      <c r="C115" t="s">
        <v>384</v>
      </c>
      <c r="D115">
        <v>2</v>
      </c>
      <c r="E115" t="s">
        <v>389</v>
      </c>
      <c r="F115">
        <v>2022</v>
      </c>
      <c r="G115">
        <v>119.81</v>
      </c>
      <c r="H115">
        <v>0.29339999999999999</v>
      </c>
      <c r="I115">
        <v>3515.2253999999998</v>
      </c>
      <c r="J115" t="s">
        <v>372</v>
      </c>
    </row>
    <row r="116" spans="1:10" x14ac:dyDescent="0.35">
      <c r="A116" t="s">
        <v>500</v>
      </c>
      <c r="B116" t="s">
        <v>340</v>
      </c>
      <c r="C116" t="s">
        <v>384</v>
      </c>
      <c r="D116">
        <v>10</v>
      </c>
      <c r="E116" t="s">
        <v>387</v>
      </c>
      <c r="F116">
        <v>2023</v>
      </c>
      <c r="G116">
        <v>39.43</v>
      </c>
      <c r="H116">
        <v>0.21210000000000001</v>
      </c>
      <c r="I116">
        <v>836.3103000000001</v>
      </c>
      <c r="J116" t="s">
        <v>372</v>
      </c>
    </row>
    <row r="117" spans="1:10" x14ac:dyDescent="0.35">
      <c r="A117" t="s">
        <v>501</v>
      </c>
      <c r="B117" t="s">
        <v>314</v>
      </c>
      <c r="C117" t="s">
        <v>370</v>
      </c>
      <c r="D117">
        <v>10</v>
      </c>
      <c r="E117" t="s">
        <v>387</v>
      </c>
      <c r="F117">
        <v>2022</v>
      </c>
      <c r="G117">
        <v>179.12</v>
      </c>
      <c r="H117">
        <v>0.67979999999999996</v>
      </c>
      <c r="I117">
        <v>12176.577600000001</v>
      </c>
      <c r="J117" t="s">
        <v>372</v>
      </c>
    </row>
    <row r="118" spans="1:10" x14ac:dyDescent="0.35">
      <c r="A118" t="s">
        <v>502</v>
      </c>
      <c r="B118" t="s">
        <v>161</v>
      </c>
      <c r="C118" t="s">
        <v>374</v>
      </c>
      <c r="D118">
        <v>10</v>
      </c>
      <c r="E118" t="s">
        <v>387</v>
      </c>
      <c r="F118">
        <v>2022</v>
      </c>
      <c r="G118">
        <v>168.5</v>
      </c>
      <c r="H118">
        <v>0.1187</v>
      </c>
      <c r="I118">
        <v>2000.095</v>
      </c>
      <c r="J118" t="s">
        <v>372</v>
      </c>
    </row>
    <row r="119" spans="1:10" x14ac:dyDescent="0.35">
      <c r="A119" t="s">
        <v>503</v>
      </c>
      <c r="B119" t="s">
        <v>97</v>
      </c>
      <c r="C119" t="s">
        <v>370</v>
      </c>
      <c r="D119">
        <v>9</v>
      </c>
      <c r="E119" t="s">
        <v>403</v>
      </c>
      <c r="F119">
        <v>2024</v>
      </c>
      <c r="G119">
        <v>216.79</v>
      </c>
      <c r="H119">
        <v>0.51239999999999997</v>
      </c>
      <c r="I119">
        <v>11108.319599999999</v>
      </c>
      <c r="J119" t="s">
        <v>372</v>
      </c>
    </row>
    <row r="120" spans="1:10" x14ac:dyDescent="0.35">
      <c r="A120" t="s">
        <v>504</v>
      </c>
      <c r="B120" t="s">
        <v>68</v>
      </c>
      <c r="C120" t="s">
        <v>384</v>
      </c>
      <c r="D120">
        <v>11</v>
      </c>
      <c r="E120" t="s">
        <v>371</v>
      </c>
      <c r="F120">
        <v>2022</v>
      </c>
      <c r="G120">
        <v>485.12</v>
      </c>
      <c r="H120">
        <v>0.67689999999999995</v>
      </c>
      <c r="I120">
        <v>32837.772799999999</v>
      </c>
      <c r="J120" t="s">
        <v>372</v>
      </c>
    </row>
    <row r="121" spans="1:10" x14ac:dyDescent="0.35">
      <c r="A121" t="s">
        <v>505</v>
      </c>
      <c r="B121" t="s">
        <v>82</v>
      </c>
      <c r="C121" t="s">
        <v>384</v>
      </c>
      <c r="D121">
        <v>2</v>
      </c>
      <c r="E121" t="s">
        <v>389</v>
      </c>
      <c r="F121">
        <v>2022</v>
      </c>
      <c r="G121">
        <v>409.46</v>
      </c>
      <c r="H121">
        <v>0.30049999999999999</v>
      </c>
      <c r="I121">
        <v>12304.272999999999</v>
      </c>
      <c r="J121" t="s">
        <v>372</v>
      </c>
    </row>
    <row r="122" spans="1:10" x14ac:dyDescent="0.35">
      <c r="A122" t="s">
        <v>506</v>
      </c>
      <c r="B122" t="s">
        <v>295</v>
      </c>
      <c r="C122" t="s">
        <v>384</v>
      </c>
      <c r="D122">
        <v>11</v>
      </c>
      <c r="E122" t="s">
        <v>371</v>
      </c>
      <c r="F122">
        <v>2023</v>
      </c>
      <c r="G122">
        <v>422.34</v>
      </c>
      <c r="H122">
        <v>0.10929999999999999</v>
      </c>
      <c r="I122">
        <v>4616.1761999999999</v>
      </c>
      <c r="J122" t="s">
        <v>372</v>
      </c>
    </row>
    <row r="123" spans="1:10" x14ac:dyDescent="0.35">
      <c r="A123" t="s">
        <v>507</v>
      </c>
      <c r="B123" t="s">
        <v>125</v>
      </c>
      <c r="C123" t="s">
        <v>384</v>
      </c>
      <c r="D123">
        <v>12</v>
      </c>
      <c r="E123" t="s">
        <v>487</v>
      </c>
      <c r="F123">
        <v>2022</v>
      </c>
      <c r="G123">
        <v>210.31</v>
      </c>
      <c r="H123">
        <v>0.57010000000000005</v>
      </c>
      <c r="I123">
        <v>11989.7731</v>
      </c>
      <c r="J123" t="s">
        <v>372</v>
      </c>
    </row>
    <row r="124" spans="1:10" x14ac:dyDescent="0.35">
      <c r="A124" t="s">
        <v>508</v>
      </c>
      <c r="B124" t="s">
        <v>99</v>
      </c>
      <c r="C124" t="s">
        <v>370</v>
      </c>
      <c r="D124">
        <v>2</v>
      </c>
      <c r="E124" t="s">
        <v>389</v>
      </c>
      <c r="F124">
        <v>2022</v>
      </c>
      <c r="G124">
        <v>62.83</v>
      </c>
      <c r="H124">
        <v>0.69479999999999997</v>
      </c>
      <c r="I124">
        <v>4365.4283999999998</v>
      </c>
      <c r="J124" t="s">
        <v>372</v>
      </c>
    </row>
    <row r="125" spans="1:10" x14ac:dyDescent="0.35">
      <c r="A125" t="s">
        <v>509</v>
      </c>
      <c r="B125" t="s">
        <v>221</v>
      </c>
      <c r="C125" t="s">
        <v>384</v>
      </c>
      <c r="D125">
        <v>5</v>
      </c>
      <c r="E125" t="s">
        <v>417</v>
      </c>
      <c r="F125">
        <v>2023</v>
      </c>
      <c r="G125">
        <v>366.48</v>
      </c>
      <c r="H125">
        <v>0.67290000000000005</v>
      </c>
      <c r="I125">
        <v>24660.439200000001</v>
      </c>
      <c r="J125" t="s">
        <v>372</v>
      </c>
    </row>
    <row r="126" spans="1:10" x14ac:dyDescent="0.35">
      <c r="A126" t="s">
        <v>510</v>
      </c>
      <c r="B126" t="s">
        <v>62</v>
      </c>
      <c r="C126" t="s">
        <v>384</v>
      </c>
      <c r="D126">
        <v>7</v>
      </c>
      <c r="E126" t="s">
        <v>375</v>
      </c>
      <c r="F126">
        <v>2024</v>
      </c>
      <c r="G126">
        <v>301.02999999999997</v>
      </c>
      <c r="H126">
        <v>0.43480000000000002</v>
      </c>
      <c r="I126">
        <v>13088.7844</v>
      </c>
      <c r="J126" t="s">
        <v>372</v>
      </c>
    </row>
    <row r="127" spans="1:10" x14ac:dyDescent="0.35">
      <c r="A127" t="s">
        <v>511</v>
      </c>
      <c r="B127" t="s">
        <v>32</v>
      </c>
      <c r="C127" t="s">
        <v>370</v>
      </c>
      <c r="D127">
        <v>5</v>
      </c>
      <c r="E127" t="s">
        <v>417</v>
      </c>
      <c r="F127">
        <v>2024</v>
      </c>
      <c r="G127">
        <v>471.16</v>
      </c>
      <c r="H127">
        <v>0.4239</v>
      </c>
      <c r="I127">
        <v>19972.472400000002</v>
      </c>
      <c r="J127" t="s">
        <v>372</v>
      </c>
    </row>
    <row r="128" spans="1:10" x14ac:dyDescent="0.35">
      <c r="A128" t="s">
        <v>512</v>
      </c>
      <c r="B128" t="s">
        <v>156</v>
      </c>
      <c r="C128" t="s">
        <v>384</v>
      </c>
      <c r="D128">
        <v>5</v>
      </c>
      <c r="E128" t="s">
        <v>417</v>
      </c>
      <c r="F128">
        <v>2022</v>
      </c>
      <c r="G128">
        <v>378.06</v>
      </c>
      <c r="H128">
        <v>0.47749999999999998</v>
      </c>
      <c r="I128">
        <v>18052.365000000002</v>
      </c>
      <c r="J128" t="s">
        <v>372</v>
      </c>
    </row>
    <row r="129" spans="1:10" x14ac:dyDescent="0.35">
      <c r="A129" t="s">
        <v>513</v>
      </c>
      <c r="B129" t="s">
        <v>276</v>
      </c>
      <c r="C129" t="s">
        <v>384</v>
      </c>
      <c r="D129">
        <v>4</v>
      </c>
      <c r="E129" t="s">
        <v>394</v>
      </c>
      <c r="F129">
        <v>2023</v>
      </c>
      <c r="G129">
        <v>65.33</v>
      </c>
      <c r="H129">
        <v>0.57469999999999999</v>
      </c>
      <c r="I129">
        <v>3754.5150999999996</v>
      </c>
      <c r="J129" t="s">
        <v>372</v>
      </c>
    </row>
    <row r="130" spans="1:10" x14ac:dyDescent="0.35">
      <c r="A130" t="s">
        <v>514</v>
      </c>
      <c r="B130" t="s">
        <v>250</v>
      </c>
      <c r="C130" t="s">
        <v>374</v>
      </c>
      <c r="D130">
        <v>1</v>
      </c>
      <c r="E130" t="s">
        <v>381</v>
      </c>
      <c r="F130">
        <v>2023</v>
      </c>
      <c r="G130">
        <v>364.65</v>
      </c>
      <c r="H130">
        <v>0.26800000000000002</v>
      </c>
      <c r="I130">
        <v>9772.6200000000008</v>
      </c>
      <c r="J130" t="s">
        <v>372</v>
      </c>
    </row>
    <row r="131" spans="1:10" x14ac:dyDescent="0.35">
      <c r="A131" t="s">
        <v>515</v>
      </c>
      <c r="B131" t="s">
        <v>347</v>
      </c>
      <c r="C131" t="s">
        <v>384</v>
      </c>
      <c r="D131">
        <v>11</v>
      </c>
      <c r="E131" t="s">
        <v>371</v>
      </c>
      <c r="F131">
        <v>2022</v>
      </c>
      <c r="G131">
        <v>342.19</v>
      </c>
      <c r="H131">
        <v>0.2752</v>
      </c>
      <c r="I131">
        <v>9417.0687999999991</v>
      </c>
      <c r="J131" t="s">
        <v>372</v>
      </c>
    </row>
    <row r="132" spans="1:10" x14ac:dyDescent="0.35">
      <c r="A132" t="s">
        <v>516</v>
      </c>
      <c r="B132" t="s">
        <v>233</v>
      </c>
      <c r="C132" t="s">
        <v>374</v>
      </c>
      <c r="D132">
        <v>3</v>
      </c>
      <c r="E132" t="s">
        <v>391</v>
      </c>
      <c r="F132">
        <v>2023</v>
      </c>
      <c r="G132">
        <v>224.65</v>
      </c>
      <c r="H132">
        <v>0.59389999999999998</v>
      </c>
      <c r="I132">
        <v>13341.9635</v>
      </c>
      <c r="J132" t="s">
        <v>372</v>
      </c>
    </row>
    <row r="133" spans="1:10" x14ac:dyDescent="0.35">
      <c r="A133" t="s">
        <v>517</v>
      </c>
      <c r="B133" t="s">
        <v>211</v>
      </c>
      <c r="C133" t="s">
        <v>370</v>
      </c>
      <c r="D133">
        <v>7</v>
      </c>
      <c r="E133" t="s">
        <v>375</v>
      </c>
      <c r="F133">
        <v>2022</v>
      </c>
      <c r="G133">
        <v>162.24</v>
      </c>
      <c r="H133">
        <v>0.1648</v>
      </c>
      <c r="I133">
        <v>2673.7152000000001</v>
      </c>
      <c r="J133" t="s">
        <v>372</v>
      </c>
    </row>
    <row r="134" spans="1:10" x14ac:dyDescent="0.35">
      <c r="A134" t="s">
        <v>518</v>
      </c>
      <c r="B134" t="s">
        <v>47</v>
      </c>
      <c r="C134" t="s">
        <v>370</v>
      </c>
      <c r="D134">
        <v>4</v>
      </c>
      <c r="E134" t="s">
        <v>394</v>
      </c>
      <c r="F134">
        <v>2024</v>
      </c>
      <c r="G134">
        <v>488.3</v>
      </c>
      <c r="H134">
        <v>0.27660000000000001</v>
      </c>
      <c r="I134">
        <v>13506.378000000001</v>
      </c>
      <c r="J134" t="s">
        <v>372</v>
      </c>
    </row>
    <row r="135" spans="1:10" x14ac:dyDescent="0.35">
      <c r="A135" t="s">
        <v>519</v>
      </c>
      <c r="B135" t="s">
        <v>15</v>
      </c>
      <c r="C135" t="s">
        <v>384</v>
      </c>
      <c r="D135">
        <v>2</v>
      </c>
      <c r="E135" t="s">
        <v>389</v>
      </c>
      <c r="F135">
        <v>2024</v>
      </c>
      <c r="G135">
        <v>292.66000000000003</v>
      </c>
      <c r="H135">
        <v>0.13969999999999999</v>
      </c>
      <c r="I135">
        <v>4088.4602</v>
      </c>
      <c r="J135" t="s">
        <v>372</v>
      </c>
    </row>
    <row r="136" spans="1:10" x14ac:dyDescent="0.35">
      <c r="A136" t="s">
        <v>520</v>
      </c>
      <c r="B136" t="s">
        <v>327</v>
      </c>
      <c r="C136" t="s">
        <v>384</v>
      </c>
      <c r="D136">
        <v>6</v>
      </c>
      <c r="E136" t="s">
        <v>379</v>
      </c>
      <c r="F136">
        <v>2023</v>
      </c>
      <c r="G136">
        <v>10.039999999999999</v>
      </c>
      <c r="H136">
        <v>0.32540000000000002</v>
      </c>
      <c r="I136">
        <v>326.70159999999998</v>
      </c>
      <c r="J136" t="s">
        <v>372</v>
      </c>
    </row>
    <row r="137" spans="1:10" x14ac:dyDescent="0.35">
      <c r="A137" t="s">
        <v>521</v>
      </c>
      <c r="B137" t="s">
        <v>140</v>
      </c>
      <c r="C137" t="s">
        <v>370</v>
      </c>
      <c r="D137">
        <v>6</v>
      </c>
      <c r="E137" t="s">
        <v>379</v>
      </c>
      <c r="F137">
        <v>2024</v>
      </c>
      <c r="G137">
        <v>93.23</v>
      </c>
      <c r="H137">
        <v>0.46960000000000002</v>
      </c>
      <c r="I137">
        <v>4378.0807999999997</v>
      </c>
      <c r="J137" t="s">
        <v>372</v>
      </c>
    </row>
    <row r="138" spans="1:10" x14ac:dyDescent="0.35">
      <c r="A138" t="s">
        <v>522</v>
      </c>
      <c r="B138" t="s">
        <v>231</v>
      </c>
      <c r="C138" t="s">
        <v>370</v>
      </c>
      <c r="D138">
        <v>2</v>
      </c>
      <c r="E138" t="s">
        <v>389</v>
      </c>
      <c r="F138">
        <v>2024</v>
      </c>
      <c r="G138">
        <v>226.34</v>
      </c>
      <c r="H138">
        <v>0.47939999999999999</v>
      </c>
      <c r="I138">
        <v>10850.739600000001</v>
      </c>
      <c r="J138" t="s">
        <v>372</v>
      </c>
    </row>
    <row r="139" spans="1:10" x14ac:dyDescent="0.35">
      <c r="A139" t="s">
        <v>523</v>
      </c>
      <c r="B139" t="s">
        <v>156</v>
      </c>
      <c r="C139" t="s">
        <v>384</v>
      </c>
      <c r="D139">
        <v>7</v>
      </c>
      <c r="E139" t="s">
        <v>375</v>
      </c>
      <c r="F139">
        <v>2023</v>
      </c>
      <c r="G139">
        <v>234.84</v>
      </c>
      <c r="H139">
        <v>0.44550000000000001</v>
      </c>
      <c r="I139">
        <v>10462.122000000001</v>
      </c>
      <c r="J139" t="s">
        <v>372</v>
      </c>
    </row>
    <row r="140" spans="1:10" x14ac:dyDescent="0.35">
      <c r="A140" t="s">
        <v>524</v>
      </c>
      <c r="B140" t="s">
        <v>225</v>
      </c>
      <c r="C140" t="s">
        <v>384</v>
      </c>
      <c r="D140">
        <v>2</v>
      </c>
      <c r="E140" t="s">
        <v>389</v>
      </c>
      <c r="F140">
        <v>2024</v>
      </c>
      <c r="G140">
        <v>169.73</v>
      </c>
      <c r="H140">
        <v>0.24909999999999999</v>
      </c>
      <c r="I140">
        <v>4227.9742999999999</v>
      </c>
      <c r="J140" t="s">
        <v>372</v>
      </c>
    </row>
    <row r="141" spans="1:10" x14ac:dyDescent="0.35">
      <c r="A141" t="s">
        <v>525</v>
      </c>
      <c r="B141" t="s">
        <v>181</v>
      </c>
      <c r="C141" t="s">
        <v>370</v>
      </c>
      <c r="D141">
        <v>11</v>
      </c>
      <c r="E141" t="s">
        <v>371</v>
      </c>
      <c r="F141">
        <v>2023</v>
      </c>
      <c r="G141">
        <v>44.29</v>
      </c>
      <c r="H141">
        <v>0.1915</v>
      </c>
      <c r="I141">
        <v>848.15349999999989</v>
      </c>
      <c r="J141" t="s">
        <v>372</v>
      </c>
    </row>
    <row r="142" spans="1:10" x14ac:dyDescent="0.35">
      <c r="A142" t="s">
        <v>526</v>
      </c>
      <c r="B142" t="s">
        <v>242</v>
      </c>
      <c r="C142" t="s">
        <v>374</v>
      </c>
      <c r="D142">
        <v>2</v>
      </c>
      <c r="E142" t="s">
        <v>389</v>
      </c>
      <c r="F142">
        <v>2024</v>
      </c>
      <c r="G142">
        <v>496.32</v>
      </c>
      <c r="H142">
        <v>0.75029999999999997</v>
      </c>
      <c r="I142">
        <v>37238.889600000002</v>
      </c>
      <c r="J142" t="s">
        <v>372</v>
      </c>
    </row>
    <row r="143" spans="1:10" x14ac:dyDescent="0.35">
      <c r="A143" t="s">
        <v>527</v>
      </c>
      <c r="B143" t="s">
        <v>86</v>
      </c>
      <c r="C143" t="s">
        <v>374</v>
      </c>
      <c r="D143">
        <v>8</v>
      </c>
      <c r="E143" t="s">
        <v>377</v>
      </c>
      <c r="F143">
        <v>2023</v>
      </c>
      <c r="G143">
        <v>487.9</v>
      </c>
      <c r="H143">
        <v>0.24929999999999999</v>
      </c>
      <c r="I143">
        <v>12163.346999999998</v>
      </c>
      <c r="J143" t="s">
        <v>372</v>
      </c>
    </row>
    <row r="144" spans="1:10" x14ac:dyDescent="0.35">
      <c r="A144" t="s">
        <v>528</v>
      </c>
      <c r="B144" t="s">
        <v>54</v>
      </c>
      <c r="C144" t="s">
        <v>384</v>
      </c>
      <c r="D144">
        <v>4</v>
      </c>
      <c r="E144" t="s">
        <v>394</v>
      </c>
      <c r="F144">
        <v>2023</v>
      </c>
      <c r="G144">
        <v>137.80000000000001</v>
      </c>
      <c r="H144">
        <v>0.60770000000000002</v>
      </c>
      <c r="I144">
        <v>8374.1059999999998</v>
      </c>
      <c r="J144" t="s">
        <v>372</v>
      </c>
    </row>
    <row r="145" spans="1:10" x14ac:dyDescent="0.35">
      <c r="A145" t="s">
        <v>529</v>
      </c>
      <c r="B145" t="s">
        <v>289</v>
      </c>
      <c r="C145" t="s">
        <v>384</v>
      </c>
      <c r="D145">
        <v>4</v>
      </c>
      <c r="E145" t="s">
        <v>394</v>
      </c>
      <c r="F145">
        <v>2024</v>
      </c>
      <c r="G145">
        <v>385.11</v>
      </c>
      <c r="H145">
        <v>0.73309999999999997</v>
      </c>
      <c r="I145">
        <v>28232.414099999998</v>
      </c>
      <c r="J145" t="s">
        <v>372</v>
      </c>
    </row>
    <row r="146" spans="1:10" x14ac:dyDescent="0.35">
      <c r="A146" t="s">
        <v>530</v>
      </c>
      <c r="B146" t="s">
        <v>70</v>
      </c>
      <c r="C146" t="s">
        <v>370</v>
      </c>
      <c r="D146">
        <v>4</v>
      </c>
      <c r="E146" t="s">
        <v>394</v>
      </c>
      <c r="F146">
        <v>2024</v>
      </c>
      <c r="G146">
        <v>106.47</v>
      </c>
      <c r="H146">
        <v>0.34689999999999999</v>
      </c>
      <c r="I146">
        <v>3693.4442999999997</v>
      </c>
      <c r="J146" t="s">
        <v>372</v>
      </c>
    </row>
    <row r="147" spans="1:10" x14ac:dyDescent="0.35">
      <c r="A147" t="s">
        <v>531</v>
      </c>
      <c r="B147" t="s">
        <v>301</v>
      </c>
      <c r="C147" t="s">
        <v>374</v>
      </c>
      <c r="D147">
        <v>3</v>
      </c>
      <c r="E147" t="s">
        <v>391</v>
      </c>
      <c r="F147">
        <v>2022</v>
      </c>
      <c r="G147">
        <v>378.89</v>
      </c>
      <c r="H147">
        <v>0.53139999999999998</v>
      </c>
      <c r="I147">
        <v>20134.214599999999</v>
      </c>
      <c r="J147" t="s">
        <v>372</v>
      </c>
    </row>
    <row r="148" spans="1:10" x14ac:dyDescent="0.35">
      <c r="A148" t="s">
        <v>532</v>
      </c>
      <c r="B148" t="s">
        <v>52</v>
      </c>
      <c r="C148" t="s">
        <v>370</v>
      </c>
      <c r="D148">
        <v>10</v>
      </c>
      <c r="E148" t="s">
        <v>387</v>
      </c>
      <c r="F148">
        <v>2022</v>
      </c>
      <c r="G148">
        <v>244.7</v>
      </c>
      <c r="H148">
        <v>0.13009999999999999</v>
      </c>
      <c r="I148">
        <v>3183.5469999999996</v>
      </c>
      <c r="J148" t="s">
        <v>372</v>
      </c>
    </row>
    <row r="149" spans="1:10" x14ac:dyDescent="0.35">
      <c r="A149" t="s">
        <v>533</v>
      </c>
      <c r="B149" t="s">
        <v>350</v>
      </c>
      <c r="C149" t="s">
        <v>374</v>
      </c>
      <c r="D149">
        <v>7</v>
      </c>
      <c r="E149" t="s">
        <v>375</v>
      </c>
      <c r="F149">
        <v>2024</v>
      </c>
      <c r="G149">
        <v>246.01</v>
      </c>
      <c r="H149">
        <v>0.27029999999999998</v>
      </c>
      <c r="I149">
        <v>6649.6502999999993</v>
      </c>
      <c r="J149" t="s">
        <v>372</v>
      </c>
    </row>
    <row r="150" spans="1:10" x14ac:dyDescent="0.35">
      <c r="A150" t="s">
        <v>534</v>
      </c>
      <c r="B150" t="s">
        <v>300</v>
      </c>
      <c r="C150" t="s">
        <v>374</v>
      </c>
      <c r="D150">
        <v>4</v>
      </c>
      <c r="E150" t="s">
        <v>394</v>
      </c>
      <c r="F150">
        <v>2022</v>
      </c>
      <c r="G150">
        <v>261.51</v>
      </c>
      <c r="H150">
        <v>0.74850000000000005</v>
      </c>
      <c r="I150">
        <v>19574.023500000003</v>
      </c>
      <c r="J150" t="s">
        <v>372</v>
      </c>
    </row>
    <row r="151" spans="1:10" x14ac:dyDescent="0.35">
      <c r="A151" t="s">
        <v>535</v>
      </c>
      <c r="B151" t="s">
        <v>166</v>
      </c>
      <c r="C151" t="s">
        <v>384</v>
      </c>
      <c r="D151">
        <v>8</v>
      </c>
      <c r="E151" t="s">
        <v>377</v>
      </c>
      <c r="F151">
        <v>2023</v>
      </c>
      <c r="G151">
        <v>273.56</v>
      </c>
      <c r="H151">
        <v>0.83789999999999998</v>
      </c>
      <c r="I151">
        <v>22921.592400000001</v>
      </c>
      <c r="J151" t="s">
        <v>372</v>
      </c>
    </row>
    <row r="152" spans="1:10" x14ac:dyDescent="0.35">
      <c r="A152" t="s">
        <v>536</v>
      </c>
      <c r="B152" t="s">
        <v>171</v>
      </c>
      <c r="C152" t="s">
        <v>370</v>
      </c>
      <c r="D152">
        <v>7</v>
      </c>
      <c r="E152" t="s">
        <v>375</v>
      </c>
      <c r="F152">
        <v>2022</v>
      </c>
      <c r="G152">
        <v>178.58</v>
      </c>
      <c r="H152">
        <v>0.5242</v>
      </c>
      <c r="I152">
        <v>9361.1635999999999</v>
      </c>
      <c r="J152" t="s">
        <v>372</v>
      </c>
    </row>
    <row r="153" spans="1:10" x14ac:dyDescent="0.35">
      <c r="A153" t="s">
        <v>537</v>
      </c>
      <c r="B153" t="s">
        <v>333</v>
      </c>
      <c r="C153" t="s">
        <v>374</v>
      </c>
      <c r="D153">
        <v>1</v>
      </c>
      <c r="E153" t="s">
        <v>381</v>
      </c>
      <c r="F153">
        <v>2022</v>
      </c>
      <c r="G153">
        <v>181.66</v>
      </c>
      <c r="H153">
        <v>0.33889999999999998</v>
      </c>
      <c r="I153">
        <v>6156.4573999999993</v>
      </c>
      <c r="J153" t="s">
        <v>372</v>
      </c>
    </row>
    <row r="154" spans="1:10" x14ac:dyDescent="0.35">
      <c r="A154" t="s">
        <v>538</v>
      </c>
      <c r="B154" t="s">
        <v>267</v>
      </c>
      <c r="C154" t="s">
        <v>370</v>
      </c>
      <c r="D154">
        <v>2</v>
      </c>
      <c r="E154" t="s">
        <v>389</v>
      </c>
      <c r="F154">
        <v>2022</v>
      </c>
      <c r="G154">
        <v>95.88</v>
      </c>
      <c r="H154">
        <v>0.51910000000000001</v>
      </c>
      <c r="I154">
        <v>4977.1307999999999</v>
      </c>
      <c r="J154" t="s">
        <v>372</v>
      </c>
    </row>
    <row r="155" spans="1:10" x14ac:dyDescent="0.35">
      <c r="A155" t="s">
        <v>539</v>
      </c>
      <c r="B155" t="s">
        <v>283</v>
      </c>
      <c r="C155" t="s">
        <v>374</v>
      </c>
      <c r="D155">
        <v>5</v>
      </c>
      <c r="E155" t="s">
        <v>417</v>
      </c>
      <c r="F155">
        <v>2024</v>
      </c>
      <c r="G155">
        <v>491.68</v>
      </c>
      <c r="H155">
        <v>0.35620000000000002</v>
      </c>
      <c r="I155">
        <v>17513.641599999999</v>
      </c>
      <c r="J155" t="s">
        <v>372</v>
      </c>
    </row>
    <row r="156" spans="1:10" x14ac:dyDescent="0.35">
      <c r="A156" t="s">
        <v>540</v>
      </c>
      <c r="B156" t="s">
        <v>123</v>
      </c>
      <c r="C156" t="s">
        <v>374</v>
      </c>
      <c r="D156">
        <v>10</v>
      </c>
      <c r="E156" t="s">
        <v>387</v>
      </c>
      <c r="F156">
        <v>2022</v>
      </c>
      <c r="G156">
        <v>56.33</v>
      </c>
      <c r="H156">
        <v>0.54469999999999996</v>
      </c>
      <c r="I156">
        <v>3068.2950999999994</v>
      </c>
      <c r="J156" t="s">
        <v>372</v>
      </c>
    </row>
    <row r="157" spans="1:10" x14ac:dyDescent="0.35">
      <c r="A157" t="s">
        <v>541</v>
      </c>
      <c r="B157" t="s">
        <v>267</v>
      </c>
      <c r="C157" t="s">
        <v>374</v>
      </c>
      <c r="D157">
        <v>12</v>
      </c>
      <c r="E157" t="s">
        <v>487</v>
      </c>
      <c r="F157">
        <v>2023</v>
      </c>
      <c r="G157">
        <v>179.12</v>
      </c>
      <c r="H157">
        <v>0.36799999999999999</v>
      </c>
      <c r="I157">
        <v>6591.6160000000009</v>
      </c>
      <c r="J157" t="s">
        <v>372</v>
      </c>
    </row>
    <row r="158" spans="1:10" x14ac:dyDescent="0.35">
      <c r="A158" t="s">
        <v>542</v>
      </c>
      <c r="B158" t="s">
        <v>43</v>
      </c>
      <c r="C158" t="s">
        <v>374</v>
      </c>
      <c r="D158">
        <v>12</v>
      </c>
      <c r="E158" t="s">
        <v>487</v>
      </c>
      <c r="F158">
        <v>2023</v>
      </c>
      <c r="G158">
        <v>120.49</v>
      </c>
      <c r="H158">
        <v>0.41930000000000001</v>
      </c>
      <c r="I158">
        <v>5052.1457</v>
      </c>
      <c r="J158" t="s">
        <v>372</v>
      </c>
    </row>
    <row r="159" spans="1:10" x14ac:dyDescent="0.35">
      <c r="A159" t="s">
        <v>543</v>
      </c>
      <c r="B159" t="s">
        <v>18</v>
      </c>
      <c r="C159" t="s">
        <v>384</v>
      </c>
      <c r="D159">
        <v>12</v>
      </c>
      <c r="E159" t="s">
        <v>487</v>
      </c>
      <c r="F159">
        <v>2023</v>
      </c>
      <c r="G159">
        <v>43.98</v>
      </c>
      <c r="H159">
        <v>0.498</v>
      </c>
      <c r="I159">
        <v>2190.2039999999997</v>
      </c>
      <c r="J159" t="s">
        <v>372</v>
      </c>
    </row>
    <row r="160" spans="1:10" x14ac:dyDescent="0.35">
      <c r="A160" t="s">
        <v>544</v>
      </c>
      <c r="B160" t="s">
        <v>185</v>
      </c>
      <c r="C160" t="s">
        <v>384</v>
      </c>
      <c r="D160">
        <v>12</v>
      </c>
      <c r="E160" t="s">
        <v>487</v>
      </c>
      <c r="F160">
        <v>2022</v>
      </c>
      <c r="G160">
        <v>160.6</v>
      </c>
      <c r="H160">
        <v>0.69530000000000003</v>
      </c>
      <c r="I160">
        <v>11166.518</v>
      </c>
      <c r="J160" t="s">
        <v>372</v>
      </c>
    </row>
    <row r="161" spans="1:10" x14ac:dyDescent="0.35">
      <c r="A161" t="s">
        <v>545</v>
      </c>
      <c r="B161" t="s">
        <v>259</v>
      </c>
      <c r="C161" t="s">
        <v>384</v>
      </c>
      <c r="D161">
        <v>7</v>
      </c>
      <c r="E161" t="s">
        <v>375</v>
      </c>
      <c r="F161">
        <v>2022</v>
      </c>
      <c r="G161">
        <v>477.88</v>
      </c>
      <c r="H161">
        <v>0.39750000000000002</v>
      </c>
      <c r="I161">
        <v>18995.73</v>
      </c>
      <c r="J161" t="s">
        <v>372</v>
      </c>
    </row>
    <row r="162" spans="1:10" x14ac:dyDescent="0.35">
      <c r="A162" t="s">
        <v>546</v>
      </c>
      <c r="B162" t="s">
        <v>212</v>
      </c>
      <c r="C162" t="s">
        <v>384</v>
      </c>
      <c r="D162">
        <v>12</v>
      </c>
      <c r="E162" t="s">
        <v>487</v>
      </c>
      <c r="F162">
        <v>2023</v>
      </c>
      <c r="G162">
        <v>137.47999999999999</v>
      </c>
      <c r="H162">
        <v>0.1668</v>
      </c>
      <c r="I162">
        <v>2293.1663999999996</v>
      </c>
      <c r="J162" t="s">
        <v>372</v>
      </c>
    </row>
    <row r="163" spans="1:10" x14ac:dyDescent="0.35">
      <c r="A163" t="s">
        <v>547</v>
      </c>
      <c r="B163" t="s">
        <v>154</v>
      </c>
      <c r="C163" t="s">
        <v>374</v>
      </c>
      <c r="D163">
        <v>1</v>
      </c>
      <c r="E163" t="s">
        <v>381</v>
      </c>
      <c r="F163">
        <v>2024</v>
      </c>
      <c r="G163">
        <v>373.42</v>
      </c>
      <c r="H163">
        <v>0.51</v>
      </c>
      <c r="I163">
        <v>19044.420000000002</v>
      </c>
      <c r="J163" t="s">
        <v>372</v>
      </c>
    </row>
    <row r="164" spans="1:10" x14ac:dyDescent="0.35">
      <c r="A164" t="s">
        <v>548</v>
      </c>
      <c r="B164" t="s">
        <v>260</v>
      </c>
      <c r="C164" t="s">
        <v>374</v>
      </c>
      <c r="D164">
        <v>3</v>
      </c>
      <c r="E164" t="s">
        <v>391</v>
      </c>
      <c r="F164">
        <v>2024</v>
      </c>
      <c r="G164">
        <v>319.55</v>
      </c>
      <c r="H164">
        <v>0.70860000000000001</v>
      </c>
      <c r="I164">
        <v>22643.313000000002</v>
      </c>
      <c r="J164" t="s">
        <v>372</v>
      </c>
    </row>
    <row r="165" spans="1:10" x14ac:dyDescent="0.35">
      <c r="A165" t="s">
        <v>549</v>
      </c>
      <c r="B165" t="s">
        <v>200</v>
      </c>
      <c r="C165" t="s">
        <v>370</v>
      </c>
      <c r="D165">
        <v>10</v>
      </c>
      <c r="E165" t="s">
        <v>387</v>
      </c>
      <c r="F165">
        <v>2022</v>
      </c>
      <c r="G165">
        <v>424.16</v>
      </c>
      <c r="H165">
        <v>0.2321</v>
      </c>
      <c r="I165">
        <v>9844.7536</v>
      </c>
      <c r="J165" t="s">
        <v>372</v>
      </c>
    </row>
    <row r="166" spans="1:10" x14ac:dyDescent="0.35">
      <c r="A166" t="s">
        <v>550</v>
      </c>
      <c r="B166" t="s">
        <v>274</v>
      </c>
      <c r="C166" t="s">
        <v>374</v>
      </c>
      <c r="D166">
        <v>7</v>
      </c>
      <c r="E166" t="s">
        <v>375</v>
      </c>
      <c r="F166">
        <v>2023</v>
      </c>
      <c r="G166">
        <v>202.73</v>
      </c>
      <c r="H166">
        <v>0.62229999999999996</v>
      </c>
      <c r="I166">
        <v>12615.887899999998</v>
      </c>
      <c r="J166" t="s">
        <v>372</v>
      </c>
    </row>
    <row r="167" spans="1:10" x14ac:dyDescent="0.35">
      <c r="A167" t="s">
        <v>551</v>
      </c>
      <c r="B167" t="s">
        <v>353</v>
      </c>
      <c r="C167" t="s">
        <v>374</v>
      </c>
      <c r="D167">
        <v>8</v>
      </c>
      <c r="E167" t="s">
        <v>377</v>
      </c>
      <c r="F167">
        <v>2022</v>
      </c>
      <c r="G167">
        <v>166.56</v>
      </c>
      <c r="H167">
        <v>0.57709999999999995</v>
      </c>
      <c r="I167">
        <v>9612.1775999999991</v>
      </c>
      <c r="J167" t="s">
        <v>372</v>
      </c>
    </row>
    <row r="168" spans="1:10" x14ac:dyDescent="0.35">
      <c r="A168" t="s">
        <v>552</v>
      </c>
      <c r="B168" t="s">
        <v>327</v>
      </c>
      <c r="C168" t="s">
        <v>370</v>
      </c>
      <c r="D168">
        <v>1</v>
      </c>
      <c r="E168" t="s">
        <v>381</v>
      </c>
      <c r="F168">
        <v>2024</v>
      </c>
      <c r="G168">
        <v>192.92</v>
      </c>
      <c r="H168">
        <v>0.66049999999999998</v>
      </c>
      <c r="I168">
        <v>12742.365999999998</v>
      </c>
      <c r="J168" t="s">
        <v>372</v>
      </c>
    </row>
    <row r="169" spans="1:10" x14ac:dyDescent="0.35">
      <c r="A169" t="s">
        <v>553</v>
      </c>
      <c r="B169" t="s">
        <v>5</v>
      </c>
      <c r="C169" t="s">
        <v>374</v>
      </c>
      <c r="D169">
        <v>11</v>
      </c>
      <c r="E169" t="s">
        <v>371</v>
      </c>
      <c r="F169">
        <v>2023</v>
      </c>
      <c r="G169">
        <v>426.07</v>
      </c>
      <c r="H169">
        <v>0.7208</v>
      </c>
      <c r="I169">
        <v>30711.125599999996</v>
      </c>
      <c r="J169" t="s">
        <v>372</v>
      </c>
    </row>
    <row r="170" spans="1:10" x14ac:dyDescent="0.35">
      <c r="A170" t="s">
        <v>554</v>
      </c>
      <c r="B170" t="s">
        <v>9</v>
      </c>
      <c r="C170" t="s">
        <v>384</v>
      </c>
      <c r="D170">
        <v>6</v>
      </c>
      <c r="E170" t="s">
        <v>379</v>
      </c>
      <c r="F170">
        <v>2022</v>
      </c>
      <c r="G170">
        <v>193.97</v>
      </c>
      <c r="H170">
        <v>0.64900000000000002</v>
      </c>
      <c r="I170">
        <v>12588.653</v>
      </c>
      <c r="J170" t="s">
        <v>372</v>
      </c>
    </row>
    <row r="171" spans="1:10" x14ac:dyDescent="0.35">
      <c r="A171" t="s">
        <v>555</v>
      </c>
      <c r="B171" t="s">
        <v>92</v>
      </c>
      <c r="C171" t="s">
        <v>374</v>
      </c>
      <c r="D171">
        <v>6</v>
      </c>
      <c r="E171" t="s">
        <v>379</v>
      </c>
      <c r="F171">
        <v>2023</v>
      </c>
      <c r="G171">
        <v>0</v>
      </c>
      <c r="H171">
        <v>0.49130000000000001</v>
      </c>
      <c r="I171">
        <v>0</v>
      </c>
      <c r="J171" t="s">
        <v>423</v>
      </c>
    </row>
    <row r="172" spans="1:10" x14ac:dyDescent="0.35">
      <c r="A172" t="s">
        <v>556</v>
      </c>
      <c r="B172" t="s">
        <v>131</v>
      </c>
      <c r="C172" t="s">
        <v>374</v>
      </c>
      <c r="D172">
        <v>9</v>
      </c>
      <c r="E172" t="s">
        <v>403</v>
      </c>
      <c r="F172">
        <v>2024</v>
      </c>
      <c r="G172">
        <v>485.11</v>
      </c>
      <c r="H172">
        <v>0.66559999999999997</v>
      </c>
      <c r="I172">
        <v>32288.921599999998</v>
      </c>
      <c r="J172" t="s">
        <v>372</v>
      </c>
    </row>
    <row r="173" spans="1:10" x14ac:dyDescent="0.35">
      <c r="A173" t="s">
        <v>557</v>
      </c>
      <c r="B173" t="s">
        <v>237</v>
      </c>
      <c r="C173" t="s">
        <v>384</v>
      </c>
      <c r="D173">
        <v>5</v>
      </c>
      <c r="E173" t="s">
        <v>417</v>
      </c>
      <c r="F173">
        <v>2022</v>
      </c>
      <c r="G173">
        <v>365.33</v>
      </c>
      <c r="H173">
        <v>0.49869999999999998</v>
      </c>
      <c r="I173">
        <v>18219.007099999999</v>
      </c>
      <c r="J173" t="s">
        <v>372</v>
      </c>
    </row>
    <row r="174" spans="1:10" x14ac:dyDescent="0.35">
      <c r="A174" t="s">
        <v>558</v>
      </c>
      <c r="B174" t="s">
        <v>169</v>
      </c>
      <c r="C174" t="s">
        <v>374</v>
      </c>
      <c r="D174">
        <v>3</v>
      </c>
      <c r="E174" t="s">
        <v>391</v>
      </c>
      <c r="F174">
        <v>2023</v>
      </c>
      <c r="G174">
        <v>225.17</v>
      </c>
      <c r="H174">
        <v>0.59360000000000002</v>
      </c>
      <c r="I174">
        <v>13366.091199999999</v>
      </c>
      <c r="J174" t="s">
        <v>372</v>
      </c>
    </row>
    <row r="175" spans="1:10" x14ac:dyDescent="0.35">
      <c r="A175" t="s">
        <v>559</v>
      </c>
      <c r="B175" t="s">
        <v>137</v>
      </c>
      <c r="C175" t="s">
        <v>370</v>
      </c>
      <c r="D175">
        <v>8</v>
      </c>
      <c r="E175" t="s">
        <v>377</v>
      </c>
      <c r="F175">
        <v>2023</v>
      </c>
      <c r="G175">
        <v>411.92</v>
      </c>
      <c r="H175">
        <v>0.71830000000000005</v>
      </c>
      <c r="I175">
        <v>29588.213600000006</v>
      </c>
      <c r="J175" t="s">
        <v>372</v>
      </c>
    </row>
    <row r="176" spans="1:10" x14ac:dyDescent="0.35">
      <c r="A176" t="s">
        <v>560</v>
      </c>
      <c r="B176" t="s">
        <v>133</v>
      </c>
      <c r="C176" t="s">
        <v>374</v>
      </c>
      <c r="D176">
        <v>12</v>
      </c>
      <c r="E176" t="s">
        <v>487</v>
      </c>
      <c r="F176">
        <v>2023</v>
      </c>
      <c r="G176">
        <v>86.59</v>
      </c>
      <c r="H176">
        <v>0.46910000000000002</v>
      </c>
      <c r="I176">
        <v>4061.9369000000006</v>
      </c>
      <c r="J176" t="s">
        <v>372</v>
      </c>
    </row>
    <row r="177" spans="1:10" x14ac:dyDescent="0.35">
      <c r="A177" t="s">
        <v>561</v>
      </c>
      <c r="B177" t="s">
        <v>223</v>
      </c>
      <c r="C177" t="s">
        <v>374</v>
      </c>
      <c r="D177">
        <v>3</v>
      </c>
      <c r="E177" t="s">
        <v>391</v>
      </c>
      <c r="F177">
        <v>2024</v>
      </c>
      <c r="G177">
        <v>382.78</v>
      </c>
      <c r="H177">
        <v>0.52170000000000005</v>
      </c>
      <c r="I177">
        <v>19969.632600000001</v>
      </c>
      <c r="J177" t="s">
        <v>372</v>
      </c>
    </row>
    <row r="178" spans="1:10" x14ac:dyDescent="0.35">
      <c r="A178" t="s">
        <v>562</v>
      </c>
      <c r="B178" t="s">
        <v>41</v>
      </c>
      <c r="C178" t="s">
        <v>384</v>
      </c>
      <c r="D178">
        <v>7</v>
      </c>
      <c r="E178" t="s">
        <v>375</v>
      </c>
      <c r="F178">
        <v>2023</v>
      </c>
      <c r="G178">
        <v>127.62</v>
      </c>
      <c r="H178">
        <v>0.17019999999999999</v>
      </c>
      <c r="I178">
        <v>2172.0924</v>
      </c>
      <c r="J178" t="s">
        <v>372</v>
      </c>
    </row>
    <row r="179" spans="1:10" x14ac:dyDescent="0.35">
      <c r="A179" t="s">
        <v>563</v>
      </c>
      <c r="B179" t="s">
        <v>272</v>
      </c>
      <c r="C179" t="s">
        <v>374</v>
      </c>
      <c r="D179">
        <v>8</v>
      </c>
      <c r="E179" t="s">
        <v>377</v>
      </c>
      <c r="F179">
        <v>2023</v>
      </c>
      <c r="G179">
        <v>241.5</v>
      </c>
      <c r="H179">
        <v>0.65629999999999999</v>
      </c>
      <c r="I179">
        <v>15849.645</v>
      </c>
      <c r="J179" t="s">
        <v>372</v>
      </c>
    </row>
    <row r="180" spans="1:10" x14ac:dyDescent="0.35">
      <c r="A180" t="s">
        <v>564</v>
      </c>
      <c r="B180" t="s">
        <v>347</v>
      </c>
      <c r="C180" t="s">
        <v>384</v>
      </c>
      <c r="D180">
        <v>9</v>
      </c>
      <c r="E180" t="s">
        <v>403</v>
      </c>
      <c r="F180">
        <v>2022</v>
      </c>
      <c r="G180">
        <v>60.43</v>
      </c>
      <c r="H180">
        <v>0.3085</v>
      </c>
      <c r="I180">
        <v>1864.2655000000002</v>
      </c>
      <c r="J180" t="s">
        <v>372</v>
      </c>
    </row>
    <row r="181" spans="1:10" x14ac:dyDescent="0.35">
      <c r="A181" t="s">
        <v>565</v>
      </c>
      <c r="B181" t="s">
        <v>329</v>
      </c>
      <c r="C181" t="s">
        <v>370</v>
      </c>
      <c r="D181">
        <v>11</v>
      </c>
      <c r="E181" t="s">
        <v>371</v>
      </c>
      <c r="F181">
        <v>2024</v>
      </c>
      <c r="G181">
        <v>422.18</v>
      </c>
      <c r="H181">
        <v>0.67030000000000001</v>
      </c>
      <c r="I181">
        <v>28298.725399999999</v>
      </c>
      <c r="J181" t="s">
        <v>372</v>
      </c>
    </row>
    <row r="182" spans="1:10" x14ac:dyDescent="0.35">
      <c r="A182" t="s">
        <v>566</v>
      </c>
      <c r="B182" t="s">
        <v>305</v>
      </c>
      <c r="C182" t="s">
        <v>370</v>
      </c>
      <c r="D182">
        <v>12</v>
      </c>
      <c r="E182" t="s">
        <v>487</v>
      </c>
      <c r="F182">
        <v>2022</v>
      </c>
      <c r="G182">
        <v>343.31</v>
      </c>
      <c r="H182">
        <v>0.30790000000000001</v>
      </c>
      <c r="I182">
        <v>10570.5149</v>
      </c>
      <c r="J182" t="s">
        <v>372</v>
      </c>
    </row>
    <row r="183" spans="1:10" x14ac:dyDescent="0.35">
      <c r="A183" t="s">
        <v>567</v>
      </c>
      <c r="B183" t="s">
        <v>115</v>
      </c>
      <c r="C183" t="s">
        <v>384</v>
      </c>
      <c r="D183">
        <v>7</v>
      </c>
      <c r="E183" t="s">
        <v>375</v>
      </c>
      <c r="F183">
        <v>2023</v>
      </c>
      <c r="G183">
        <v>101.1</v>
      </c>
      <c r="H183">
        <v>0.28399999999999997</v>
      </c>
      <c r="I183">
        <v>2871.2399999999993</v>
      </c>
      <c r="J183" t="s">
        <v>372</v>
      </c>
    </row>
    <row r="184" spans="1:10" x14ac:dyDescent="0.35">
      <c r="A184" t="s">
        <v>568</v>
      </c>
      <c r="B184" t="s">
        <v>161</v>
      </c>
      <c r="C184" t="s">
        <v>370</v>
      </c>
      <c r="D184">
        <v>11</v>
      </c>
      <c r="E184" t="s">
        <v>371</v>
      </c>
      <c r="F184">
        <v>2022</v>
      </c>
      <c r="G184">
        <v>462.11</v>
      </c>
      <c r="H184">
        <v>0.14050000000000001</v>
      </c>
      <c r="I184">
        <v>6492.6455000000005</v>
      </c>
      <c r="J184" t="s">
        <v>372</v>
      </c>
    </row>
    <row r="185" spans="1:10" x14ac:dyDescent="0.35">
      <c r="A185" t="s">
        <v>569</v>
      </c>
      <c r="B185" t="s">
        <v>168</v>
      </c>
      <c r="C185" t="s">
        <v>374</v>
      </c>
      <c r="D185">
        <v>11</v>
      </c>
      <c r="E185" t="s">
        <v>371</v>
      </c>
      <c r="F185">
        <v>2023</v>
      </c>
      <c r="G185">
        <v>199.51</v>
      </c>
      <c r="H185">
        <v>0.72940000000000005</v>
      </c>
      <c r="I185">
        <v>14552.259399999999</v>
      </c>
      <c r="J185" t="s">
        <v>372</v>
      </c>
    </row>
    <row r="186" spans="1:10" x14ac:dyDescent="0.35">
      <c r="A186" t="s">
        <v>570</v>
      </c>
      <c r="B186" t="s">
        <v>141</v>
      </c>
      <c r="C186" t="s">
        <v>374</v>
      </c>
      <c r="D186">
        <v>12</v>
      </c>
      <c r="E186" t="s">
        <v>487</v>
      </c>
      <c r="F186">
        <v>2023</v>
      </c>
      <c r="G186">
        <v>26.75</v>
      </c>
      <c r="H186">
        <v>0.82530000000000003</v>
      </c>
      <c r="I186">
        <v>2207.6775000000002</v>
      </c>
      <c r="J186" t="s">
        <v>372</v>
      </c>
    </row>
    <row r="187" spans="1:10" x14ac:dyDescent="0.35">
      <c r="A187" t="s">
        <v>571</v>
      </c>
      <c r="B187" t="s">
        <v>337</v>
      </c>
      <c r="C187" t="s">
        <v>384</v>
      </c>
      <c r="D187">
        <v>8</v>
      </c>
      <c r="E187" t="s">
        <v>377</v>
      </c>
      <c r="F187">
        <v>2022</v>
      </c>
      <c r="G187">
        <v>210.81</v>
      </c>
      <c r="H187">
        <v>0.55289999999999995</v>
      </c>
      <c r="I187">
        <v>11655.684899999998</v>
      </c>
      <c r="J187" t="s">
        <v>372</v>
      </c>
    </row>
    <row r="188" spans="1:10" x14ac:dyDescent="0.35">
      <c r="A188" t="s">
        <v>572</v>
      </c>
      <c r="B188" t="s">
        <v>95</v>
      </c>
      <c r="C188" t="s">
        <v>374</v>
      </c>
      <c r="D188">
        <v>10</v>
      </c>
      <c r="E188" t="s">
        <v>387</v>
      </c>
      <c r="F188">
        <v>2023</v>
      </c>
      <c r="G188">
        <v>404.15</v>
      </c>
      <c r="H188">
        <v>0.2044</v>
      </c>
      <c r="I188">
        <v>8260.8260000000009</v>
      </c>
      <c r="J188" t="s">
        <v>372</v>
      </c>
    </row>
    <row r="189" spans="1:10" x14ac:dyDescent="0.35">
      <c r="A189" t="s">
        <v>573</v>
      </c>
      <c r="B189" t="s">
        <v>181</v>
      </c>
      <c r="C189" t="s">
        <v>374</v>
      </c>
      <c r="D189">
        <v>11</v>
      </c>
      <c r="E189" t="s">
        <v>371</v>
      </c>
      <c r="F189">
        <v>2023</v>
      </c>
      <c r="G189">
        <v>271.7</v>
      </c>
      <c r="H189">
        <v>0.1525</v>
      </c>
      <c r="I189">
        <v>4143.4250000000002</v>
      </c>
      <c r="J189" t="s">
        <v>372</v>
      </c>
    </row>
    <row r="190" spans="1:10" x14ac:dyDescent="0.35">
      <c r="A190" t="s">
        <v>574</v>
      </c>
      <c r="B190" t="s">
        <v>251</v>
      </c>
      <c r="C190" t="s">
        <v>374</v>
      </c>
      <c r="D190">
        <v>6</v>
      </c>
      <c r="E190" t="s">
        <v>379</v>
      </c>
      <c r="F190">
        <v>2024</v>
      </c>
      <c r="G190">
        <v>387.99</v>
      </c>
      <c r="H190">
        <v>0.19969999999999999</v>
      </c>
      <c r="I190">
        <v>7748.1602999999996</v>
      </c>
      <c r="J190" t="s">
        <v>372</v>
      </c>
    </row>
    <row r="191" spans="1:10" x14ac:dyDescent="0.35">
      <c r="A191" t="s">
        <v>575</v>
      </c>
      <c r="B191" t="s">
        <v>259</v>
      </c>
      <c r="C191" t="s">
        <v>384</v>
      </c>
      <c r="D191">
        <v>6</v>
      </c>
      <c r="E191" t="s">
        <v>379</v>
      </c>
      <c r="F191">
        <v>2022</v>
      </c>
      <c r="G191">
        <v>463.53</v>
      </c>
      <c r="H191">
        <v>0.50509999999999999</v>
      </c>
      <c r="I191">
        <v>23412.900299999998</v>
      </c>
      <c r="J191" t="s">
        <v>372</v>
      </c>
    </row>
    <row r="192" spans="1:10" x14ac:dyDescent="0.35">
      <c r="A192" t="s">
        <v>576</v>
      </c>
      <c r="B192" t="s">
        <v>204</v>
      </c>
      <c r="C192" t="s">
        <v>384</v>
      </c>
      <c r="D192">
        <v>8</v>
      </c>
      <c r="E192" t="s">
        <v>377</v>
      </c>
      <c r="F192">
        <v>2024</v>
      </c>
      <c r="G192">
        <v>333.24</v>
      </c>
      <c r="H192">
        <v>0.57340000000000002</v>
      </c>
      <c r="I192">
        <v>19107.981600000003</v>
      </c>
      <c r="J192" t="s">
        <v>372</v>
      </c>
    </row>
    <row r="193" spans="1:10" x14ac:dyDescent="0.35">
      <c r="A193" t="s">
        <v>577</v>
      </c>
      <c r="B193" t="s">
        <v>49</v>
      </c>
      <c r="C193" t="s">
        <v>374</v>
      </c>
      <c r="D193">
        <v>7</v>
      </c>
      <c r="E193" t="s">
        <v>375</v>
      </c>
      <c r="F193">
        <v>2023</v>
      </c>
      <c r="G193">
        <v>42.41</v>
      </c>
      <c r="H193">
        <v>0.79530000000000001</v>
      </c>
      <c r="I193">
        <v>3372.8672999999999</v>
      </c>
      <c r="J193" t="s">
        <v>372</v>
      </c>
    </row>
    <row r="194" spans="1:10" x14ac:dyDescent="0.35">
      <c r="A194" t="s">
        <v>578</v>
      </c>
      <c r="B194" t="s">
        <v>277</v>
      </c>
      <c r="C194" t="s">
        <v>384</v>
      </c>
      <c r="D194">
        <v>12</v>
      </c>
      <c r="E194" t="s">
        <v>487</v>
      </c>
      <c r="F194">
        <v>2023</v>
      </c>
      <c r="G194">
        <v>178</v>
      </c>
      <c r="H194">
        <v>0.1633</v>
      </c>
      <c r="I194">
        <v>2906.74</v>
      </c>
      <c r="J194" t="s">
        <v>372</v>
      </c>
    </row>
    <row r="195" spans="1:10" x14ac:dyDescent="0.35">
      <c r="A195" t="s">
        <v>579</v>
      </c>
      <c r="B195" t="s">
        <v>212</v>
      </c>
      <c r="C195" t="s">
        <v>384</v>
      </c>
      <c r="D195">
        <v>12</v>
      </c>
      <c r="E195" t="s">
        <v>487</v>
      </c>
      <c r="F195">
        <v>2023</v>
      </c>
      <c r="G195">
        <v>426.3</v>
      </c>
      <c r="H195">
        <v>0.57369999999999999</v>
      </c>
      <c r="I195">
        <v>24456.830999999998</v>
      </c>
      <c r="J195" t="s">
        <v>372</v>
      </c>
    </row>
    <row r="196" spans="1:10" x14ac:dyDescent="0.35">
      <c r="A196" t="s">
        <v>580</v>
      </c>
      <c r="B196" t="s">
        <v>119</v>
      </c>
      <c r="C196" t="s">
        <v>370</v>
      </c>
      <c r="D196">
        <v>11</v>
      </c>
      <c r="E196" t="s">
        <v>371</v>
      </c>
      <c r="F196">
        <v>2022</v>
      </c>
      <c r="G196">
        <v>373.1</v>
      </c>
      <c r="H196">
        <v>0.83</v>
      </c>
      <c r="I196">
        <v>30967.3</v>
      </c>
      <c r="J196" t="s">
        <v>372</v>
      </c>
    </row>
    <row r="197" spans="1:10" x14ac:dyDescent="0.35">
      <c r="A197" t="s">
        <v>581</v>
      </c>
      <c r="B197" t="s">
        <v>166</v>
      </c>
      <c r="C197" t="s">
        <v>374</v>
      </c>
      <c r="D197">
        <v>5</v>
      </c>
      <c r="E197" t="s">
        <v>417</v>
      </c>
      <c r="F197">
        <v>2022</v>
      </c>
      <c r="G197">
        <v>259.18</v>
      </c>
      <c r="H197">
        <v>0.63229999999999997</v>
      </c>
      <c r="I197">
        <v>16387.951400000002</v>
      </c>
      <c r="J197" t="s">
        <v>372</v>
      </c>
    </row>
    <row r="198" spans="1:10" x14ac:dyDescent="0.35">
      <c r="A198" t="s">
        <v>582</v>
      </c>
      <c r="B198" t="s">
        <v>23</v>
      </c>
      <c r="C198" t="s">
        <v>374</v>
      </c>
      <c r="D198">
        <v>2</v>
      </c>
      <c r="E198" t="s">
        <v>389</v>
      </c>
      <c r="F198">
        <v>2022</v>
      </c>
      <c r="G198">
        <v>124.79</v>
      </c>
      <c r="H198">
        <v>0.47039999999999998</v>
      </c>
      <c r="I198">
        <v>5870.1216000000004</v>
      </c>
      <c r="J198" t="s">
        <v>372</v>
      </c>
    </row>
    <row r="199" spans="1:10" x14ac:dyDescent="0.35">
      <c r="A199" t="s">
        <v>583</v>
      </c>
      <c r="B199" t="s">
        <v>152</v>
      </c>
      <c r="C199" t="s">
        <v>370</v>
      </c>
      <c r="D199">
        <v>7</v>
      </c>
      <c r="E199" t="s">
        <v>375</v>
      </c>
      <c r="F199">
        <v>2024</v>
      </c>
      <c r="G199">
        <v>96.56</v>
      </c>
      <c r="H199">
        <v>0.30690000000000001</v>
      </c>
      <c r="I199">
        <v>2963.4264000000003</v>
      </c>
      <c r="J199" t="s">
        <v>372</v>
      </c>
    </row>
    <row r="200" spans="1:10" x14ac:dyDescent="0.35">
      <c r="A200" t="s">
        <v>584</v>
      </c>
      <c r="B200" t="s">
        <v>12</v>
      </c>
      <c r="C200" t="s">
        <v>370</v>
      </c>
      <c r="D200">
        <v>2</v>
      </c>
      <c r="E200" t="s">
        <v>389</v>
      </c>
      <c r="F200">
        <v>2022</v>
      </c>
      <c r="G200">
        <v>67.06</v>
      </c>
      <c r="H200">
        <v>0.77680000000000005</v>
      </c>
      <c r="I200">
        <v>5209.220800000001</v>
      </c>
      <c r="J200" t="s">
        <v>372</v>
      </c>
    </row>
    <row r="201" spans="1:10" x14ac:dyDescent="0.35">
      <c r="A201" t="s">
        <v>585</v>
      </c>
      <c r="B201" t="s">
        <v>263</v>
      </c>
      <c r="C201" t="s">
        <v>370</v>
      </c>
      <c r="D201">
        <v>12</v>
      </c>
      <c r="E201" t="s">
        <v>487</v>
      </c>
      <c r="F201">
        <v>2024</v>
      </c>
      <c r="G201">
        <v>114.91</v>
      </c>
      <c r="H201">
        <v>0.30590000000000001</v>
      </c>
      <c r="I201">
        <v>3515.0968999999996</v>
      </c>
      <c r="J201" t="s">
        <v>372</v>
      </c>
    </row>
    <row r="202" spans="1:10" x14ac:dyDescent="0.35">
      <c r="A202" t="s">
        <v>586</v>
      </c>
      <c r="B202" t="s">
        <v>277</v>
      </c>
      <c r="C202" t="s">
        <v>384</v>
      </c>
      <c r="D202">
        <v>12</v>
      </c>
      <c r="E202" t="s">
        <v>487</v>
      </c>
      <c r="F202">
        <v>2024</v>
      </c>
      <c r="G202">
        <v>496.95</v>
      </c>
      <c r="H202">
        <v>0.53090000000000004</v>
      </c>
      <c r="I202">
        <v>26383.075500000003</v>
      </c>
      <c r="J202" t="s">
        <v>372</v>
      </c>
    </row>
    <row r="203" spans="1:10" x14ac:dyDescent="0.35">
      <c r="A203" t="s">
        <v>587</v>
      </c>
      <c r="B203" t="s">
        <v>255</v>
      </c>
      <c r="C203" t="s">
        <v>374</v>
      </c>
      <c r="D203">
        <v>11</v>
      </c>
      <c r="E203" t="s">
        <v>371</v>
      </c>
      <c r="F203">
        <v>2024</v>
      </c>
      <c r="G203">
        <v>483.62</v>
      </c>
      <c r="H203">
        <v>0.1123</v>
      </c>
      <c r="I203">
        <v>5431.0526</v>
      </c>
      <c r="J203" t="s">
        <v>372</v>
      </c>
    </row>
    <row r="204" spans="1:10" x14ac:dyDescent="0.35">
      <c r="A204" t="s">
        <v>588</v>
      </c>
      <c r="B204" t="s">
        <v>74</v>
      </c>
      <c r="C204" t="s">
        <v>374</v>
      </c>
      <c r="D204">
        <v>1</v>
      </c>
      <c r="E204" t="s">
        <v>381</v>
      </c>
      <c r="F204">
        <v>2023</v>
      </c>
      <c r="G204">
        <v>149.34</v>
      </c>
      <c r="H204">
        <v>0.73119999999999996</v>
      </c>
      <c r="I204">
        <v>10919.7408</v>
      </c>
      <c r="J204" t="s">
        <v>372</v>
      </c>
    </row>
    <row r="205" spans="1:10" x14ac:dyDescent="0.35">
      <c r="A205" t="s">
        <v>589</v>
      </c>
      <c r="B205" t="s">
        <v>28</v>
      </c>
      <c r="C205" t="s">
        <v>384</v>
      </c>
      <c r="D205">
        <v>2</v>
      </c>
      <c r="E205" t="s">
        <v>389</v>
      </c>
      <c r="F205">
        <v>2024</v>
      </c>
      <c r="G205">
        <v>349.65</v>
      </c>
      <c r="H205">
        <v>0.40500000000000003</v>
      </c>
      <c r="I205">
        <v>14160.825000000001</v>
      </c>
      <c r="J205" t="s">
        <v>372</v>
      </c>
    </row>
    <row r="206" spans="1:10" x14ac:dyDescent="0.35">
      <c r="A206" t="s">
        <v>590</v>
      </c>
      <c r="B206" t="s">
        <v>111</v>
      </c>
      <c r="C206" t="s">
        <v>384</v>
      </c>
      <c r="D206">
        <v>6</v>
      </c>
      <c r="E206" t="s">
        <v>379</v>
      </c>
      <c r="F206">
        <v>2024</v>
      </c>
      <c r="G206">
        <v>288.14999999999998</v>
      </c>
      <c r="H206">
        <v>0.20660000000000001</v>
      </c>
      <c r="I206">
        <v>5953.1789999999992</v>
      </c>
      <c r="J206" t="s">
        <v>372</v>
      </c>
    </row>
    <row r="207" spans="1:10" x14ac:dyDescent="0.35">
      <c r="A207" t="s">
        <v>591</v>
      </c>
      <c r="B207" t="s">
        <v>131</v>
      </c>
      <c r="C207" t="s">
        <v>384</v>
      </c>
      <c r="D207">
        <v>8</v>
      </c>
      <c r="E207" t="s">
        <v>377</v>
      </c>
      <c r="F207">
        <v>2022</v>
      </c>
      <c r="G207">
        <v>447.7</v>
      </c>
      <c r="H207">
        <v>0.57299999999999995</v>
      </c>
      <c r="I207">
        <v>25653.209999999995</v>
      </c>
      <c r="J207" t="s">
        <v>372</v>
      </c>
    </row>
    <row r="208" spans="1:10" x14ac:dyDescent="0.35">
      <c r="A208" t="s">
        <v>592</v>
      </c>
      <c r="B208" t="s">
        <v>187</v>
      </c>
      <c r="C208" t="s">
        <v>384</v>
      </c>
      <c r="D208">
        <v>8</v>
      </c>
      <c r="E208" t="s">
        <v>377</v>
      </c>
      <c r="F208">
        <v>2022</v>
      </c>
      <c r="G208">
        <v>251.11</v>
      </c>
      <c r="H208">
        <v>0.2079</v>
      </c>
      <c r="I208">
        <v>5220.5769</v>
      </c>
      <c r="J208" t="s">
        <v>372</v>
      </c>
    </row>
    <row r="209" spans="1:10" x14ac:dyDescent="0.35">
      <c r="A209" t="s">
        <v>593</v>
      </c>
      <c r="B209" t="s">
        <v>287</v>
      </c>
      <c r="C209" t="s">
        <v>374</v>
      </c>
      <c r="D209">
        <v>8</v>
      </c>
      <c r="E209" t="s">
        <v>377</v>
      </c>
      <c r="F209">
        <v>2022</v>
      </c>
      <c r="G209">
        <v>14.13</v>
      </c>
      <c r="H209">
        <v>0.60560000000000003</v>
      </c>
      <c r="I209">
        <v>855.71280000000002</v>
      </c>
      <c r="J209" t="s">
        <v>372</v>
      </c>
    </row>
    <row r="210" spans="1:10" x14ac:dyDescent="0.35">
      <c r="A210" t="s">
        <v>594</v>
      </c>
      <c r="B210" t="s">
        <v>294</v>
      </c>
      <c r="C210" t="s">
        <v>374</v>
      </c>
      <c r="D210">
        <v>3</v>
      </c>
      <c r="E210" t="s">
        <v>391</v>
      </c>
      <c r="F210">
        <v>2024</v>
      </c>
      <c r="G210">
        <v>127.23</v>
      </c>
      <c r="H210">
        <v>0.23089999999999999</v>
      </c>
      <c r="I210">
        <v>2937.7407000000003</v>
      </c>
      <c r="J210" t="s">
        <v>372</v>
      </c>
    </row>
    <row r="211" spans="1:10" x14ac:dyDescent="0.35">
      <c r="A211" t="s">
        <v>595</v>
      </c>
      <c r="B211" t="s">
        <v>216</v>
      </c>
      <c r="C211" t="s">
        <v>370</v>
      </c>
      <c r="D211">
        <v>3</v>
      </c>
      <c r="E211" t="s">
        <v>391</v>
      </c>
      <c r="F211">
        <v>2023</v>
      </c>
      <c r="G211">
        <v>149.68</v>
      </c>
      <c r="H211">
        <v>0.38990000000000002</v>
      </c>
      <c r="I211">
        <v>5836.0232000000005</v>
      </c>
      <c r="J211" t="s">
        <v>372</v>
      </c>
    </row>
    <row r="212" spans="1:10" x14ac:dyDescent="0.35">
      <c r="A212" t="s">
        <v>596</v>
      </c>
      <c r="B212" t="s">
        <v>154</v>
      </c>
      <c r="C212" t="s">
        <v>370</v>
      </c>
      <c r="D212">
        <v>8</v>
      </c>
      <c r="E212" t="s">
        <v>377</v>
      </c>
      <c r="F212">
        <v>2023</v>
      </c>
      <c r="G212">
        <v>2.63</v>
      </c>
      <c r="H212">
        <v>0.5544</v>
      </c>
      <c r="I212">
        <v>145.80719999999999</v>
      </c>
      <c r="J212" t="s">
        <v>372</v>
      </c>
    </row>
    <row r="213" spans="1:10" x14ac:dyDescent="0.35">
      <c r="A213" t="s">
        <v>597</v>
      </c>
      <c r="B213" t="s">
        <v>300</v>
      </c>
      <c r="C213" t="s">
        <v>384</v>
      </c>
      <c r="D213">
        <v>3</v>
      </c>
      <c r="E213" t="s">
        <v>391</v>
      </c>
      <c r="F213">
        <v>2023</v>
      </c>
      <c r="G213">
        <v>477.17</v>
      </c>
      <c r="H213">
        <v>0.5081</v>
      </c>
      <c r="I213">
        <v>24245.007699999998</v>
      </c>
      <c r="J213" t="s">
        <v>372</v>
      </c>
    </row>
    <row r="214" spans="1:10" x14ac:dyDescent="0.35">
      <c r="A214" t="s">
        <v>598</v>
      </c>
      <c r="B214" t="s">
        <v>45</v>
      </c>
      <c r="C214" t="s">
        <v>370</v>
      </c>
      <c r="D214">
        <v>5</v>
      </c>
      <c r="E214" t="s">
        <v>417</v>
      </c>
      <c r="F214">
        <v>2024</v>
      </c>
      <c r="G214">
        <v>50.39</v>
      </c>
      <c r="H214">
        <v>0.59840000000000004</v>
      </c>
      <c r="I214">
        <v>3015.3376000000003</v>
      </c>
      <c r="J214" t="s">
        <v>372</v>
      </c>
    </row>
    <row r="215" spans="1:10" x14ac:dyDescent="0.35">
      <c r="A215" t="s">
        <v>599</v>
      </c>
      <c r="B215" t="s">
        <v>66</v>
      </c>
      <c r="C215" t="s">
        <v>384</v>
      </c>
      <c r="D215">
        <v>12</v>
      </c>
      <c r="E215" t="s">
        <v>487</v>
      </c>
      <c r="F215">
        <v>2023</v>
      </c>
      <c r="G215">
        <v>266.69</v>
      </c>
      <c r="H215">
        <v>0.29720000000000002</v>
      </c>
      <c r="I215">
        <v>7926.0268000000015</v>
      </c>
      <c r="J215" t="s">
        <v>372</v>
      </c>
    </row>
    <row r="216" spans="1:10" x14ac:dyDescent="0.35">
      <c r="A216" t="s">
        <v>600</v>
      </c>
      <c r="B216" t="s">
        <v>119</v>
      </c>
      <c r="C216" t="s">
        <v>370</v>
      </c>
      <c r="D216">
        <v>12</v>
      </c>
      <c r="E216" t="s">
        <v>487</v>
      </c>
      <c r="F216">
        <v>2024</v>
      </c>
      <c r="G216">
        <v>328.06</v>
      </c>
      <c r="H216">
        <v>0.15809999999999999</v>
      </c>
      <c r="I216">
        <v>5186.6285999999991</v>
      </c>
      <c r="J216" t="s">
        <v>372</v>
      </c>
    </row>
    <row r="217" spans="1:10" x14ac:dyDescent="0.35">
      <c r="A217" t="s">
        <v>601</v>
      </c>
      <c r="B217" t="s">
        <v>131</v>
      </c>
      <c r="C217" t="s">
        <v>384</v>
      </c>
      <c r="D217">
        <v>3</v>
      </c>
      <c r="E217" t="s">
        <v>391</v>
      </c>
      <c r="F217">
        <v>2023</v>
      </c>
      <c r="G217">
        <v>493.12</v>
      </c>
      <c r="H217">
        <v>0.56269999999999998</v>
      </c>
      <c r="I217">
        <v>27747.862399999998</v>
      </c>
      <c r="J217" t="s">
        <v>372</v>
      </c>
    </row>
    <row r="218" spans="1:10" x14ac:dyDescent="0.35">
      <c r="A218" t="s">
        <v>602</v>
      </c>
      <c r="B218" t="s">
        <v>300</v>
      </c>
      <c r="C218" t="s">
        <v>374</v>
      </c>
      <c r="D218">
        <v>12</v>
      </c>
      <c r="E218" t="s">
        <v>487</v>
      </c>
      <c r="F218">
        <v>2024</v>
      </c>
      <c r="G218">
        <v>432.83</v>
      </c>
      <c r="H218">
        <v>0.28339999999999999</v>
      </c>
      <c r="I218">
        <v>12266.402199999999</v>
      </c>
      <c r="J218" t="s">
        <v>372</v>
      </c>
    </row>
    <row r="219" spans="1:10" x14ac:dyDescent="0.35">
      <c r="A219" t="s">
        <v>603</v>
      </c>
      <c r="B219" t="s">
        <v>306</v>
      </c>
      <c r="C219" t="s">
        <v>384</v>
      </c>
      <c r="D219">
        <v>3</v>
      </c>
      <c r="E219" t="s">
        <v>391</v>
      </c>
      <c r="F219">
        <v>2022</v>
      </c>
      <c r="G219">
        <v>372.93</v>
      </c>
      <c r="H219">
        <v>0.41449999999999998</v>
      </c>
      <c r="I219">
        <v>15457.9485</v>
      </c>
      <c r="J219" t="s">
        <v>372</v>
      </c>
    </row>
    <row r="220" spans="1:10" x14ac:dyDescent="0.35">
      <c r="A220" t="s">
        <v>604</v>
      </c>
      <c r="B220" t="s">
        <v>306</v>
      </c>
      <c r="C220" t="s">
        <v>370</v>
      </c>
      <c r="D220">
        <v>8</v>
      </c>
      <c r="E220" t="s">
        <v>377</v>
      </c>
      <c r="F220">
        <v>2022</v>
      </c>
      <c r="G220">
        <v>159.28</v>
      </c>
      <c r="H220">
        <v>0.2286</v>
      </c>
      <c r="I220">
        <v>3641.1408000000001</v>
      </c>
      <c r="J220" t="s">
        <v>372</v>
      </c>
    </row>
    <row r="221" spans="1:10" x14ac:dyDescent="0.35">
      <c r="A221" t="s">
        <v>605</v>
      </c>
      <c r="B221" t="s">
        <v>54</v>
      </c>
      <c r="C221" t="s">
        <v>370</v>
      </c>
      <c r="D221">
        <v>1</v>
      </c>
      <c r="E221" t="s">
        <v>381</v>
      </c>
      <c r="F221">
        <v>2023</v>
      </c>
      <c r="G221">
        <v>304.7</v>
      </c>
      <c r="H221">
        <v>0.54339999999999999</v>
      </c>
      <c r="I221">
        <v>16557.398000000001</v>
      </c>
      <c r="J221" t="s">
        <v>372</v>
      </c>
    </row>
    <row r="222" spans="1:10" x14ac:dyDescent="0.35">
      <c r="A222" t="s">
        <v>606</v>
      </c>
      <c r="B222" t="s">
        <v>270</v>
      </c>
      <c r="C222" t="s">
        <v>374</v>
      </c>
      <c r="D222">
        <v>8</v>
      </c>
      <c r="E222" t="s">
        <v>377</v>
      </c>
      <c r="F222">
        <v>2023</v>
      </c>
      <c r="G222">
        <v>275.79000000000002</v>
      </c>
      <c r="H222">
        <v>0.70709999999999995</v>
      </c>
      <c r="I222">
        <v>19501.1109</v>
      </c>
      <c r="J222" t="s">
        <v>372</v>
      </c>
    </row>
    <row r="223" spans="1:10" x14ac:dyDescent="0.35">
      <c r="A223" t="s">
        <v>607</v>
      </c>
      <c r="B223" t="s">
        <v>74</v>
      </c>
      <c r="C223" t="s">
        <v>374</v>
      </c>
      <c r="D223">
        <v>6</v>
      </c>
      <c r="E223" t="s">
        <v>379</v>
      </c>
      <c r="F223">
        <v>2024</v>
      </c>
      <c r="G223">
        <v>451.69</v>
      </c>
      <c r="H223">
        <v>0.3</v>
      </c>
      <c r="I223">
        <v>13550.7</v>
      </c>
      <c r="J223" t="s">
        <v>372</v>
      </c>
    </row>
    <row r="224" spans="1:10" x14ac:dyDescent="0.35">
      <c r="A224" t="s">
        <v>608</v>
      </c>
      <c r="B224" t="s">
        <v>23</v>
      </c>
      <c r="C224" t="s">
        <v>374</v>
      </c>
      <c r="D224">
        <v>9</v>
      </c>
      <c r="E224" t="s">
        <v>403</v>
      </c>
      <c r="F224">
        <v>2024</v>
      </c>
      <c r="G224">
        <v>95.5</v>
      </c>
      <c r="H224">
        <v>0.21360000000000001</v>
      </c>
      <c r="I224">
        <v>2039.88</v>
      </c>
      <c r="J224" t="s">
        <v>372</v>
      </c>
    </row>
    <row r="225" spans="1:10" x14ac:dyDescent="0.35">
      <c r="A225" t="s">
        <v>609</v>
      </c>
      <c r="B225" t="s">
        <v>309</v>
      </c>
      <c r="C225" t="s">
        <v>384</v>
      </c>
      <c r="D225">
        <v>7</v>
      </c>
      <c r="E225" t="s">
        <v>375</v>
      </c>
      <c r="F225">
        <v>2022</v>
      </c>
      <c r="G225">
        <v>237.13</v>
      </c>
      <c r="H225">
        <v>0.26819999999999999</v>
      </c>
      <c r="I225">
        <v>6359.8265999999994</v>
      </c>
      <c r="J225" t="s">
        <v>372</v>
      </c>
    </row>
    <row r="226" spans="1:10" x14ac:dyDescent="0.35">
      <c r="A226" t="s">
        <v>610</v>
      </c>
      <c r="B226" t="s">
        <v>344</v>
      </c>
      <c r="C226" t="s">
        <v>384</v>
      </c>
      <c r="D226">
        <v>7</v>
      </c>
      <c r="E226" t="s">
        <v>375</v>
      </c>
      <c r="F226">
        <v>2023</v>
      </c>
      <c r="G226">
        <v>342.22</v>
      </c>
      <c r="H226">
        <v>0.75449999999999995</v>
      </c>
      <c r="I226">
        <v>25820.499</v>
      </c>
      <c r="J226" t="s">
        <v>372</v>
      </c>
    </row>
    <row r="227" spans="1:10" x14ac:dyDescent="0.35">
      <c r="A227" t="s">
        <v>611</v>
      </c>
      <c r="B227" t="s">
        <v>41</v>
      </c>
      <c r="C227" t="s">
        <v>374</v>
      </c>
      <c r="D227">
        <v>12</v>
      </c>
      <c r="E227" t="s">
        <v>487</v>
      </c>
      <c r="F227">
        <v>2023</v>
      </c>
      <c r="G227">
        <v>165.08</v>
      </c>
      <c r="H227">
        <v>0.49399999999999999</v>
      </c>
      <c r="I227">
        <v>8154.9520000000002</v>
      </c>
      <c r="J227" t="s">
        <v>372</v>
      </c>
    </row>
    <row r="228" spans="1:10" x14ac:dyDescent="0.35">
      <c r="A228" t="s">
        <v>612</v>
      </c>
      <c r="B228" t="s">
        <v>21</v>
      </c>
      <c r="C228" t="s">
        <v>370</v>
      </c>
      <c r="D228">
        <v>6</v>
      </c>
      <c r="E228" t="s">
        <v>379</v>
      </c>
      <c r="F228">
        <v>2022</v>
      </c>
      <c r="G228">
        <v>249.3</v>
      </c>
      <c r="H228">
        <v>0.61809999999999998</v>
      </c>
      <c r="I228">
        <v>15409.233</v>
      </c>
      <c r="J228" t="s">
        <v>372</v>
      </c>
    </row>
    <row r="229" spans="1:10" x14ac:dyDescent="0.35">
      <c r="A229" t="s">
        <v>613</v>
      </c>
      <c r="B229" t="s">
        <v>245</v>
      </c>
      <c r="C229" t="s">
        <v>370</v>
      </c>
      <c r="D229">
        <v>12</v>
      </c>
      <c r="E229" t="s">
        <v>487</v>
      </c>
      <c r="F229">
        <v>2024</v>
      </c>
      <c r="G229">
        <v>38.57</v>
      </c>
      <c r="H229">
        <v>0.56269999999999998</v>
      </c>
      <c r="I229">
        <v>2170.3339000000001</v>
      </c>
      <c r="J229" t="s">
        <v>372</v>
      </c>
    </row>
    <row r="230" spans="1:10" x14ac:dyDescent="0.35">
      <c r="A230" t="s">
        <v>614</v>
      </c>
      <c r="B230" t="s">
        <v>138</v>
      </c>
      <c r="C230" t="s">
        <v>370</v>
      </c>
      <c r="D230">
        <v>3</v>
      </c>
      <c r="E230" t="s">
        <v>391</v>
      </c>
      <c r="F230">
        <v>2023</v>
      </c>
      <c r="G230">
        <v>294.45999999999998</v>
      </c>
      <c r="H230">
        <v>0.12559999999999999</v>
      </c>
      <c r="I230">
        <v>3698.4175999999989</v>
      </c>
      <c r="J230" t="s">
        <v>372</v>
      </c>
    </row>
    <row r="231" spans="1:10" x14ac:dyDescent="0.35">
      <c r="A231" t="s">
        <v>615</v>
      </c>
      <c r="B231" t="s">
        <v>216</v>
      </c>
      <c r="C231" t="s">
        <v>370</v>
      </c>
      <c r="D231">
        <v>12</v>
      </c>
      <c r="E231" t="s">
        <v>487</v>
      </c>
      <c r="F231">
        <v>2023</v>
      </c>
      <c r="G231">
        <v>384.16</v>
      </c>
      <c r="H231">
        <v>0.35649999999999998</v>
      </c>
      <c r="I231">
        <v>13695.304000000002</v>
      </c>
      <c r="J231" t="s">
        <v>372</v>
      </c>
    </row>
    <row r="232" spans="1:10" x14ac:dyDescent="0.35">
      <c r="A232" t="s">
        <v>616</v>
      </c>
      <c r="B232" t="s">
        <v>72</v>
      </c>
      <c r="C232" t="s">
        <v>374</v>
      </c>
      <c r="D232">
        <v>7</v>
      </c>
      <c r="E232" t="s">
        <v>375</v>
      </c>
      <c r="F232">
        <v>2023</v>
      </c>
      <c r="G232">
        <v>176.13</v>
      </c>
      <c r="H232">
        <v>0.24010000000000001</v>
      </c>
      <c r="I232">
        <v>4228.8813</v>
      </c>
      <c r="J232" t="s">
        <v>372</v>
      </c>
    </row>
    <row r="233" spans="1:10" x14ac:dyDescent="0.35">
      <c r="A233" t="s">
        <v>617</v>
      </c>
      <c r="B233" t="s">
        <v>265</v>
      </c>
      <c r="C233" t="s">
        <v>384</v>
      </c>
      <c r="D233">
        <v>7</v>
      </c>
      <c r="E233" t="s">
        <v>375</v>
      </c>
      <c r="F233">
        <v>2024</v>
      </c>
      <c r="G233">
        <v>391.61</v>
      </c>
      <c r="H233">
        <v>0.35160000000000002</v>
      </c>
      <c r="I233">
        <v>13769.007600000001</v>
      </c>
      <c r="J233" t="s">
        <v>372</v>
      </c>
    </row>
    <row r="234" spans="1:10" x14ac:dyDescent="0.35">
      <c r="A234" t="s">
        <v>618</v>
      </c>
      <c r="B234" t="s">
        <v>56</v>
      </c>
      <c r="C234" t="s">
        <v>384</v>
      </c>
      <c r="D234">
        <v>7</v>
      </c>
      <c r="E234" t="s">
        <v>375</v>
      </c>
      <c r="F234">
        <v>2022</v>
      </c>
      <c r="G234">
        <v>130.16999999999999</v>
      </c>
      <c r="H234">
        <v>0.78180000000000005</v>
      </c>
      <c r="I234">
        <v>10176.6906</v>
      </c>
      <c r="J234" t="s">
        <v>372</v>
      </c>
    </row>
    <row r="235" spans="1:10" x14ac:dyDescent="0.35">
      <c r="A235" t="s">
        <v>619</v>
      </c>
      <c r="B235" t="s">
        <v>329</v>
      </c>
      <c r="C235" t="s">
        <v>370</v>
      </c>
      <c r="D235">
        <v>6</v>
      </c>
      <c r="E235" t="s">
        <v>379</v>
      </c>
      <c r="F235">
        <v>2023</v>
      </c>
      <c r="G235">
        <v>436.2</v>
      </c>
      <c r="H235">
        <v>0.27</v>
      </c>
      <c r="I235">
        <v>11777.4</v>
      </c>
      <c r="J235" t="s">
        <v>372</v>
      </c>
    </row>
    <row r="236" spans="1:10" x14ac:dyDescent="0.35">
      <c r="A236" t="s">
        <v>620</v>
      </c>
      <c r="B236" t="s">
        <v>289</v>
      </c>
      <c r="C236" t="s">
        <v>374</v>
      </c>
      <c r="D236">
        <v>11</v>
      </c>
      <c r="E236" t="s">
        <v>371</v>
      </c>
      <c r="F236">
        <v>2023</v>
      </c>
      <c r="G236">
        <v>124.01</v>
      </c>
      <c r="H236">
        <v>0.83630000000000004</v>
      </c>
      <c r="I236">
        <v>10370.9563</v>
      </c>
      <c r="J236" t="s">
        <v>372</v>
      </c>
    </row>
    <row r="237" spans="1:10" x14ac:dyDescent="0.35">
      <c r="A237" t="s">
        <v>621</v>
      </c>
      <c r="B237" t="s">
        <v>305</v>
      </c>
      <c r="C237" t="s">
        <v>374</v>
      </c>
      <c r="D237">
        <v>7</v>
      </c>
      <c r="E237" t="s">
        <v>375</v>
      </c>
      <c r="F237">
        <v>2024</v>
      </c>
      <c r="G237">
        <v>461.31</v>
      </c>
      <c r="H237">
        <v>0.8256</v>
      </c>
      <c r="I237">
        <v>38085.753599999996</v>
      </c>
      <c r="J237" t="s">
        <v>372</v>
      </c>
    </row>
    <row r="238" spans="1:10" x14ac:dyDescent="0.35">
      <c r="A238" t="s">
        <v>622</v>
      </c>
      <c r="B238" t="s">
        <v>150</v>
      </c>
      <c r="C238" t="s">
        <v>374</v>
      </c>
      <c r="D238">
        <v>11</v>
      </c>
      <c r="E238" t="s">
        <v>371</v>
      </c>
      <c r="F238">
        <v>2024</v>
      </c>
      <c r="G238">
        <v>108.86</v>
      </c>
      <c r="H238">
        <v>0.5766</v>
      </c>
      <c r="I238">
        <v>6276.8675999999996</v>
      </c>
      <c r="J238" t="s">
        <v>372</v>
      </c>
    </row>
    <row r="239" spans="1:10" x14ac:dyDescent="0.35">
      <c r="A239" t="s">
        <v>623</v>
      </c>
      <c r="B239" t="s">
        <v>133</v>
      </c>
      <c r="C239" t="s">
        <v>370</v>
      </c>
      <c r="D239">
        <v>5</v>
      </c>
      <c r="E239" t="s">
        <v>417</v>
      </c>
      <c r="F239">
        <v>2023</v>
      </c>
      <c r="G239">
        <v>463.18</v>
      </c>
      <c r="H239">
        <v>0.2319</v>
      </c>
      <c r="I239">
        <v>10741.144199999999</v>
      </c>
      <c r="J239" t="s">
        <v>372</v>
      </c>
    </row>
    <row r="240" spans="1:10" x14ac:dyDescent="0.35">
      <c r="A240" t="s">
        <v>624</v>
      </c>
      <c r="B240" t="s">
        <v>272</v>
      </c>
      <c r="C240" t="s">
        <v>384</v>
      </c>
      <c r="D240">
        <v>4</v>
      </c>
      <c r="E240" t="s">
        <v>394</v>
      </c>
      <c r="F240">
        <v>2024</v>
      </c>
      <c r="G240">
        <v>375.59</v>
      </c>
      <c r="H240">
        <v>0.67469999999999997</v>
      </c>
      <c r="I240">
        <v>25341.057299999997</v>
      </c>
      <c r="J240" t="s">
        <v>372</v>
      </c>
    </row>
    <row r="241" spans="1:10" x14ac:dyDescent="0.35">
      <c r="A241" t="s">
        <v>625</v>
      </c>
      <c r="B241" t="s">
        <v>93</v>
      </c>
      <c r="C241" t="s">
        <v>370</v>
      </c>
      <c r="D241">
        <v>2</v>
      </c>
      <c r="E241" t="s">
        <v>389</v>
      </c>
      <c r="F241">
        <v>2023</v>
      </c>
      <c r="G241">
        <v>343.65</v>
      </c>
      <c r="H241">
        <v>0.4924</v>
      </c>
      <c r="I241">
        <v>16921.326000000001</v>
      </c>
      <c r="J241" t="s">
        <v>372</v>
      </c>
    </row>
    <row r="242" spans="1:10" x14ac:dyDescent="0.35">
      <c r="A242" t="s">
        <v>626</v>
      </c>
      <c r="B242" t="s">
        <v>217</v>
      </c>
      <c r="C242" t="s">
        <v>374</v>
      </c>
      <c r="D242">
        <v>9</v>
      </c>
      <c r="E242" t="s">
        <v>403</v>
      </c>
      <c r="F242">
        <v>2024</v>
      </c>
      <c r="G242">
        <v>310.7</v>
      </c>
      <c r="H242">
        <v>0.44779999999999998</v>
      </c>
      <c r="I242">
        <v>13913.145999999997</v>
      </c>
      <c r="J242" t="s">
        <v>372</v>
      </c>
    </row>
    <row r="243" spans="1:10" x14ac:dyDescent="0.35">
      <c r="A243" t="s">
        <v>627</v>
      </c>
      <c r="B243" t="s">
        <v>300</v>
      </c>
      <c r="C243" t="s">
        <v>384</v>
      </c>
      <c r="D243">
        <v>3</v>
      </c>
      <c r="E243" t="s">
        <v>391</v>
      </c>
      <c r="F243">
        <v>2024</v>
      </c>
      <c r="G243">
        <v>251.63</v>
      </c>
      <c r="H243">
        <v>0.14749999999999999</v>
      </c>
      <c r="I243">
        <v>3711.5424999999996</v>
      </c>
      <c r="J243" t="s">
        <v>372</v>
      </c>
    </row>
    <row r="244" spans="1:10" x14ac:dyDescent="0.35">
      <c r="A244" t="s">
        <v>628</v>
      </c>
      <c r="B244" t="s">
        <v>210</v>
      </c>
      <c r="C244" t="s">
        <v>374</v>
      </c>
      <c r="D244">
        <v>3</v>
      </c>
      <c r="E244" t="s">
        <v>391</v>
      </c>
      <c r="F244">
        <v>2022</v>
      </c>
      <c r="G244">
        <v>325.77</v>
      </c>
      <c r="H244">
        <v>0.69199999999999995</v>
      </c>
      <c r="I244">
        <v>22543.283999999996</v>
      </c>
      <c r="J244" t="s">
        <v>372</v>
      </c>
    </row>
    <row r="245" spans="1:10" x14ac:dyDescent="0.35">
      <c r="A245" t="s">
        <v>629</v>
      </c>
      <c r="B245" t="s">
        <v>117</v>
      </c>
      <c r="C245" t="s">
        <v>370</v>
      </c>
      <c r="D245">
        <v>7</v>
      </c>
      <c r="E245" t="s">
        <v>375</v>
      </c>
      <c r="F245">
        <v>2023</v>
      </c>
      <c r="G245">
        <v>24.36</v>
      </c>
      <c r="H245">
        <v>0.66869999999999996</v>
      </c>
      <c r="I245">
        <v>1628.9531999999997</v>
      </c>
      <c r="J245" t="s">
        <v>372</v>
      </c>
    </row>
    <row r="246" spans="1:10" x14ac:dyDescent="0.35">
      <c r="A246" t="s">
        <v>630</v>
      </c>
      <c r="B246" t="s">
        <v>202</v>
      </c>
      <c r="C246" t="s">
        <v>384</v>
      </c>
      <c r="D246">
        <v>12</v>
      </c>
      <c r="E246" t="s">
        <v>487</v>
      </c>
      <c r="F246">
        <v>2023</v>
      </c>
      <c r="G246">
        <v>227.12</v>
      </c>
      <c r="H246">
        <v>0.71940000000000004</v>
      </c>
      <c r="I246">
        <v>16339.0128</v>
      </c>
      <c r="J246" t="s">
        <v>372</v>
      </c>
    </row>
    <row r="247" spans="1:10" x14ac:dyDescent="0.35">
      <c r="A247" t="s">
        <v>631</v>
      </c>
      <c r="B247" t="s">
        <v>72</v>
      </c>
      <c r="C247" t="s">
        <v>370</v>
      </c>
      <c r="D247">
        <v>8</v>
      </c>
      <c r="E247" t="s">
        <v>377</v>
      </c>
      <c r="F247">
        <v>2022</v>
      </c>
      <c r="G247">
        <v>34.450000000000003</v>
      </c>
      <c r="H247">
        <v>0.20330000000000001</v>
      </c>
      <c r="I247">
        <v>700.36850000000004</v>
      </c>
      <c r="J247" t="s">
        <v>372</v>
      </c>
    </row>
    <row r="248" spans="1:10" x14ac:dyDescent="0.35">
      <c r="A248" t="s">
        <v>632</v>
      </c>
      <c r="B248" t="s">
        <v>239</v>
      </c>
      <c r="C248" t="s">
        <v>374</v>
      </c>
      <c r="D248">
        <v>10</v>
      </c>
      <c r="E248" t="s">
        <v>387</v>
      </c>
      <c r="F248">
        <v>2024</v>
      </c>
      <c r="G248">
        <v>280.5</v>
      </c>
      <c r="H248">
        <v>0.4375</v>
      </c>
      <c r="I248">
        <v>12271.875</v>
      </c>
      <c r="J248" t="s">
        <v>372</v>
      </c>
    </row>
    <row r="249" spans="1:10" x14ac:dyDescent="0.35">
      <c r="A249" t="s">
        <v>633</v>
      </c>
      <c r="B249" t="s">
        <v>353</v>
      </c>
      <c r="C249" t="s">
        <v>384</v>
      </c>
      <c r="D249">
        <v>8</v>
      </c>
      <c r="E249" t="s">
        <v>377</v>
      </c>
      <c r="F249">
        <v>2023</v>
      </c>
      <c r="G249">
        <v>158.44</v>
      </c>
      <c r="H249">
        <v>0.39539999999999997</v>
      </c>
      <c r="I249">
        <v>6264.717599999999</v>
      </c>
      <c r="J249" t="s">
        <v>372</v>
      </c>
    </row>
    <row r="250" spans="1:10" x14ac:dyDescent="0.35">
      <c r="A250" t="s">
        <v>634</v>
      </c>
      <c r="B250" t="s">
        <v>125</v>
      </c>
      <c r="C250" t="s">
        <v>370</v>
      </c>
      <c r="D250">
        <v>9</v>
      </c>
      <c r="E250" t="s">
        <v>403</v>
      </c>
      <c r="F250">
        <v>2022</v>
      </c>
      <c r="G250">
        <v>201.15</v>
      </c>
      <c r="H250">
        <v>0.18010000000000001</v>
      </c>
      <c r="I250">
        <v>3622.7115000000003</v>
      </c>
      <c r="J250" t="s">
        <v>372</v>
      </c>
    </row>
    <row r="251" spans="1:10" x14ac:dyDescent="0.35">
      <c r="A251" t="s">
        <v>635</v>
      </c>
      <c r="B251" t="s">
        <v>108</v>
      </c>
      <c r="C251" t="s">
        <v>384</v>
      </c>
      <c r="D251">
        <v>2</v>
      </c>
      <c r="E251" t="s">
        <v>389</v>
      </c>
      <c r="F251">
        <v>2024</v>
      </c>
      <c r="G251">
        <v>39.53</v>
      </c>
      <c r="H251">
        <v>0.77070000000000005</v>
      </c>
      <c r="I251">
        <v>3046.5771000000004</v>
      </c>
      <c r="J251" t="s">
        <v>372</v>
      </c>
    </row>
    <row r="252" spans="1:10" x14ac:dyDescent="0.35">
      <c r="A252" t="s">
        <v>636</v>
      </c>
      <c r="B252" t="s">
        <v>265</v>
      </c>
      <c r="C252" t="s">
        <v>370</v>
      </c>
      <c r="D252">
        <v>12</v>
      </c>
      <c r="E252" t="s">
        <v>487</v>
      </c>
      <c r="F252">
        <v>2024</v>
      </c>
      <c r="G252">
        <v>220.71</v>
      </c>
      <c r="H252">
        <v>0.51680000000000004</v>
      </c>
      <c r="I252">
        <v>11406.292800000001</v>
      </c>
      <c r="J252" t="s">
        <v>372</v>
      </c>
    </row>
    <row r="253" spans="1:10" x14ac:dyDescent="0.35">
      <c r="A253" t="s">
        <v>637</v>
      </c>
      <c r="B253" t="s">
        <v>101</v>
      </c>
      <c r="C253" t="s">
        <v>370</v>
      </c>
      <c r="D253">
        <v>1</v>
      </c>
      <c r="E253" t="s">
        <v>381</v>
      </c>
      <c r="F253">
        <v>2023</v>
      </c>
      <c r="G253">
        <v>286.48</v>
      </c>
      <c r="H253">
        <v>0.21329999999999999</v>
      </c>
      <c r="I253">
        <v>6110.6184000000003</v>
      </c>
      <c r="J253" t="s">
        <v>372</v>
      </c>
    </row>
    <row r="254" spans="1:10" x14ac:dyDescent="0.35">
      <c r="A254" t="s">
        <v>638</v>
      </c>
      <c r="B254" t="s">
        <v>276</v>
      </c>
      <c r="C254" t="s">
        <v>370</v>
      </c>
      <c r="D254">
        <v>6</v>
      </c>
      <c r="E254" t="s">
        <v>379</v>
      </c>
      <c r="F254">
        <v>2022</v>
      </c>
      <c r="G254">
        <v>226.15</v>
      </c>
      <c r="H254">
        <v>0.18820000000000001</v>
      </c>
      <c r="I254">
        <v>4256.143</v>
      </c>
      <c r="J254" t="s">
        <v>372</v>
      </c>
    </row>
    <row r="255" spans="1:10" x14ac:dyDescent="0.35">
      <c r="A255" t="s">
        <v>639</v>
      </c>
      <c r="B255" t="s">
        <v>103</v>
      </c>
      <c r="C255" t="s">
        <v>374</v>
      </c>
      <c r="D255">
        <v>11</v>
      </c>
      <c r="E255" t="s">
        <v>371</v>
      </c>
      <c r="F255">
        <v>2024</v>
      </c>
      <c r="G255">
        <v>169.89</v>
      </c>
      <c r="H255">
        <v>0.54500000000000004</v>
      </c>
      <c r="I255">
        <v>9259.005000000001</v>
      </c>
      <c r="J255" t="s">
        <v>372</v>
      </c>
    </row>
    <row r="256" spans="1:10" x14ac:dyDescent="0.35">
      <c r="A256" t="s">
        <v>640</v>
      </c>
      <c r="B256" t="s">
        <v>191</v>
      </c>
      <c r="C256" t="s">
        <v>370</v>
      </c>
      <c r="D256">
        <v>11</v>
      </c>
      <c r="E256" t="s">
        <v>371</v>
      </c>
      <c r="F256">
        <v>2024</v>
      </c>
      <c r="G256">
        <v>135.12</v>
      </c>
      <c r="H256">
        <v>0.53810000000000002</v>
      </c>
      <c r="I256">
        <v>7270.8072000000002</v>
      </c>
      <c r="J256" t="s">
        <v>372</v>
      </c>
    </row>
    <row r="257" spans="1:10" x14ac:dyDescent="0.35">
      <c r="A257" t="s">
        <v>641</v>
      </c>
      <c r="B257" t="s">
        <v>156</v>
      </c>
      <c r="C257" t="s">
        <v>384</v>
      </c>
      <c r="D257">
        <v>9</v>
      </c>
      <c r="E257" t="s">
        <v>403</v>
      </c>
      <c r="F257">
        <v>2023</v>
      </c>
      <c r="G257">
        <v>300.97000000000003</v>
      </c>
      <c r="H257">
        <v>0.78580000000000005</v>
      </c>
      <c r="I257">
        <v>23650.222600000005</v>
      </c>
      <c r="J257" t="s">
        <v>372</v>
      </c>
    </row>
    <row r="258" spans="1:10" x14ac:dyDescent="0.35">
      <c r="A258" t="s">
        <v>642</v>
      </c>
      <c r="B258" t="s">
        <v>206</v>
      </c>
      <c r="C258" t="s">
        <v>384</v>
      </c>
      <c r="D258">
        <v>2</v>
      </c>
      <c r="E258" t="s">
        <v>389</v>
      </c>
      <c r="F258">
        <v>2022</v>
      </c>
      <c r="G258">
        <v>0</v>
      </c>
      <c r="H258">
        <v>0.81850000000000001</v>
      </c>
      <c r="I258">
        <v>0</v>
      </c>
      <c r="J258" t="s">
        <v>423</v>
      </c>
    </row>
    <row r="259" spans="1:10" x14ac:dyDescent="0.35">
      <c r="A259" t="s">
        <v>643</v>
      </c>
      <c r="B259" t="s">
        <v>214</v>
      </c>
      <c r="C259" t="s">
        <v>384</v>
      </c>
      <c r="D259">
        <v>1</v>
      </c>
      <c r="E259" t="s">
        <v>381</v>
      </c>
      <c r="F259">
        <v>2023</v>
      </c>
      <c r="G259">
        <v>0</v>
      </c>
      <c r="H259">
        <v>0.45739999999999997</v>
      </c>
      <c r="I259">
        <v>0</v>
      </c>
      <c r="J259" t="s">
        <v>423</v>
      </c>
    </row>
    <row r="260" spans="1:10" x14ac:dyDescent="0.35">
      <c r="A260" t="s">
        <v>644</v>
      </c>
      <c r="B260" t="s">
        <v>60</v>
      </c>
      <c r="C260" t="s">
        <v>370</v>
      </c>
      <c r="D260">
        <v>10</v>
      </c>
      <c r="E260" t="s">
        <v>387</v>
      </c>
      <c r="F260">
        <v>2023</v>
      </c>
      <c r="G260">
        <v>175.14</v>
      </c>
      <c r="H260">
        <v>0.42209999999999998</v>
      </c>
      <c r="I260">
        <v>7392.6593999999996</v>
      </c>
      <c r="J260" t="s">
        <v>372</v>
      </c>
    </row>
    <row r="261" spans="1:10" x14ac:dyDescent="0.35">
      <c r="A261" t="s">
        <v>645</v>
      </c>
      <c r="B261" t="s">
        <v>353</v>
      </c>
      <c r="C261" t="s">
        <v>370</v>
      </c>
      <c r="D261">
        <v>3</v>
      </c>
      <c r="E261" t="s">
        <v>391</v>
      </c>
      <c r="F261">
        <v>2024</v>
      </c>
      <c r="G261">
        <v>383.12</v>
      </c>
      <c r="H261">
        <v>0.27379999999999999</v>
      </c>
      <c r="I261">
        <v>10489.8256</v>
      </c>
      <c r="J261" t="s">
        <v>372</v>
      </c>
    </row>
    <row r="262" spans="1:10" x14ac:dyDescent="0.35">
      <c r="A262" t="s">
        <v>646</v>
      </c>
      <c r="B262" t="s">
        <v>52</v>
      </c>
      <c r="C262" t="s">
        <v>370</v>
      </c>
      <c r="D262">
        <v>12</v>
      </c>
      <c r="E262" t="s">
        <v>487</v>
      </c>
      <c r="F262">
        <v>2022</v>
      </c>
      <c r="G262">
        <v>168.11</v>
      </c>
      <c r="H262">
        <v>0.57010000000000005</v>
      </c>
      <c r="I262">
        <v>9583.951100000002</v>
      </c>
      <c r="J262" t="s">
        <v>372</v>
      </c>
    </row>
    <row r="263" spans="1:10" x14ac:dyDescent="0.35">
      <c r="A263" t="s">
        <v>647</v>
      </c>
      <c r="B263" t="s">
        <v>250</v>
      </c>
      <c r="C263" t="s">
        <v>370</v>
      </c>
      <c r="D263">
        <v>9</v>
      </c>
      <c r="E263" t="s">
        <v>403</v>
      </c>
      <c r="F263">
        <v>2024</v>
      </c>
      <c r="G263">
        <v>66.69</v>
      </c>
      <c r="H263">
        <v>0.1658</v>
      </c>
      <c r="I263">
        <v>1105.7202</v>
      </c>
      <c r="J263" t="s">
        <v>372</v>
      </c>
    </row>
    <row r="264" spans="1:10" x14ac:dyDescent="0.35">
      <c r="A264" t="s">
        <v>648</v>
      </c>
      <c r="B264" t="s">
        <v>41</v>
      </c>
      <c r="C264" t="s">
        <v>374</v>
      </c>
      <c r="D264">
        <v>4</v>
      </c>
      <c r="E264" t="s">
        <v>394</v>
      </c>
      <c r="F264">
        <v>2022</v>
      </c>
      <c r="G264">
        <v>480.45</v>
      </c>
      <c r="H264">
        <v>0.66710000000000003</v>
      </c>
      <c r="I264">
        <v>32050.819500000001</v>
      </c>
      <c r="J264" t="s">
        <v>372</v>
      </c>
    </row>
    <row r="265" spans="1:10" x14ac:dyDescent="0.35">
      <c r="A265" t="s">
        <v>649</v>
      </c>
      <c r="B265" t="s">
        <v>131</v>
      </c>
      <c r="C265" t="s">
        <v>384</v>
      </c>
      <c r="D265">
        <v>4</v>
      </c>
      <c r="E265" t="s">
        <v>394</v>
      </c>
      <c r="F265">
        <v>2024</v>
      </c>
      <c r="G265">
        <v>163.55000000000001</v>
      </c>
      <c r="H265">
        <v>0.3851</v>
      </c>
      <c r="I265">
        <v>6298.3105000000005</v>
      </c>
      <c r="J265" t="s">
        <v>372</v>
      </c>
    </row>
    <row r="266" spans="1:10" x14ac:dyDescent="0.35">
      <c r="A266" t="s">
        <v>650</v>
      </c>
      <c r="B266" t="s">
        <v>49</v>
      </c>
      <c r="C266" t="s">
        <v>370</v>
      </c>
      <c r="D266">
        <v>10</v>
      </c>
      <c r="E266" t="s">
        <v>387</v>
      </c>
      <c r="F266">
        <v>2024</v>
      </c>
      <c r="G266">
        <v>287.63</v>
      </c>
      <c r="H266">
        <v>0.53700000000000003</v>
      </c>
      <c r="I266">
        <v>15445.731</v>
      </c>
      <c r="J266" t="s">
        <v>372</v>
      </c>
    </row>
    <row r="267" spans="1:10" x14ac:dyDescent="0.35">
      <c r="A267" t="s">
        <v>651</v>
      </c>
      <c r="B267" t="s">
        <v>340</v>
      </c>
      <c r="C267" t="s">
        <v>370</v>
      </c>
      <c r="D267">
        <v>11</v>
      </c>
      <c r="E267" t="s">
        <v>371</v>
      </c>
      <c r="F267">
        <v>2024</v>
      </c>
      <c r="G267">
        <v>104.7</v>
      </c>
      <c r="H267">
        <v>0.1242</v>
      </c>
      <c r="I267">
        <v>1300.374</v>
      </c>
      <c r="J267" t="s">
        <v>372</v>
      </c>
    </row>
    <row r="268" spans="1:10" x14ac:dyDescent="0.35">
      <c r="A268" t="s">
        <v>652</v>
      </c>
      <c r="B268" t="s">
        <v>160</v>
      </c>
      <c r="C268" t="s">
        <v>374</v>
      </c>
      <c r="D268">
        <v>8</v>
      </c>
      <c r="E268" t="s">
        <v>377</v>
      </c>
      <c r="F268">
        <v>2022</v>
      </c>
      <c r="G268">
        <v>364.03</v>
      </c>
      <c r="H268">
        <v>0.4461</v>
      </c>
      <c r="I268">
        <v>16239.378299999998</v>
      </c>
      <c r="J268" t="s">
        <v>372</v>
      </c>
    </row>
    <row r="269" spans="1:10" x14ac:dyDescent="0.35">
      <c r="A269" t="s">
        <v>653</v>
      </c>
      <c r="B269" t="s">
        <v>156</v>
      </c>
      <c r="C269" t="s">
        <v>374</v>
      </c>
      <c r="D269">
        <v>10</v>
      </c>
      <c r="E269" t="s">
        <v>387</v>
      </c>
      <c r="F269">
        <v>2024</v>
      </c>
      <c r="G269">
        <v>293.69</v>
      </c>
      <c r="H269">
        <v>0.79859999999999998</v>
      </c>
      <c r="I269">
        <v>23454.0834</v>
      </c>
      <c r="J269" t="s">
        <v>372</v>
      </c>
    </row>
    <row r="270" spans="1:10" x14ac:dyDescent="0.35">
      <c r="A270" t="s">
        <v>654</v>
      </c>
      <c r="B270" t="s">
        <v>135</v>
      </c>
      <c r="C270" t="s">
        <v>370</v>
      </c>
      <c r="D270">
        <v>7</v>
      </c>
      <c r="E270" t="s">
        <v>375</v>
      </c>
      <c r="F270">
        <v>2024</v>
      </c>
      <c r="G270">
        <v>279.93</v>
      </c>
      <c r="H270">
        <v>0.71260000000000001</v>
      </c>
      <c r="I270">
        <v>19947.811799999999</v>
      </c>
      <c r="J270" t="s">
        <v>372</v>
      </c>
    </row>
    <row r="271" spans="1:10" x14ac:dyDescent="0.35">
      <c r="A271" t="s">
        <v>655</v>
      </c>
      <c r="B271" t="s">
        <v>305</v>
      </c>
      <c r="C271" t="s">
        <v>370</v>
      </c>
      <c r="D271">
        <v>10</v>
      </c>
      <c r="E271" t="s">
        <v>387</v>
      </c>
      <c r="F271">
        <v>2023</v>
      </c>
      <c r="G271">
        <v>338.73</v>
      </c>
      <c r="H271">
        <v>0.50009999999999999</v>
      </c>
      <c r="I271">
        <v>16939.887300000002</v>
      </c>
      <c r="J271" t="s">
        <v>372</v>
      </c>
    </row>
    <row r="272" spans="1:10" x14ac:dyDescent="0.35">
      <c r="A272" t="s">
        <v>656</v>
      </c>
      <c r="B272" t="s">
        <v>68</v>
      </c>
      <c r="C272" t="s">
        <v>374</v>
      </c>
      <c r="D272">
        <v>9</v>
      </c>
      <c r="E272" t="s">
        <v>403</v>
      </c>
      <c r="F272">
        <v>2024</v>
      </c>
      <c r="G272">
        <v>195.16</v>
      </c>
      <c r="H272">
        <v>0.11550000000000001</v>
      </c>
      <c r="I272">
        <v>2254.098</v>
      </c>
      <c r="J272" t="s">
        <v>372</v>
      </c>
    </row>
    <row r="273" spans="1:10" x14ac:dyDescent="0.35">
      <c r="A273" t="s">
        <v>657</v>
      </c>
      <c r="B273" t="s">
        <v>37</v>
      </c>
      <c r="C273" t="s">
        <v>384</v>
      </c>
      <c r="D273">
        <v>11</v>
      </c>
      <c r="E273" t="s">
        <v>371</v>
      </c>
      <c r="F273">
        <v>2023</v>
      </c>
      <c r="G273">
        <v>169.32</v>
      </c>
      <c r="H273">
        <v>0.30769999999999997</v>
      </c>
      <c r="I273">
        <v>5209.9763999999996</v>
      </c>
      <c r="J273" t="s">
        <v>372</v>
      </c>
    </row>
    <row r="274" spans="1:10" x14ac:dyDescent="0.35">
      <c r="A274" t="s">
        <v>658</v>
      </c>
      <c r="B274" t="s">
        <v>147</v>
      </c>
      <c r="C274" t="s">
        <v>370</v>
      </c>
      <c r="D274">
        <v>2</v>
      </c>
      <c r="E274" t="s">
        <v>389</v>
      </c>
      <c r="F274">
        <v>2024</v>
      </c>
      <c r="G274">
        <v>189.76</v>
      </c>
      <c r="H274">
        <v>0.71699999999999997</v>
      </c>
      <c r="I274">
        <v>13605.791999999999</v>
      </c>
      <c r="J274" t="s">
        <v>372</v>
      </c>
    </row>
    <row r="275" spans="1:10" x14ac:dyDescent="0.35">
      <c r="A275" t="s">
        <v>659</v>
      </c>
      <c r="B275" t="s">
        <v>164</v>
      </c>
      <c r="C275" t="s">
        <v>374</v>
      </c>
      <c r="D275">
        <v>10</v>
      </c>
      <c r="E275" t="s">
        <v>387</v>
      </c>
      <c r="F275">
        <v>2024</v>
      </c>
      <c r="G275">
        <v>462.84</v>
      </c>
      <c r="H275">
        <v>0.69620000000000004</v>
      </c>
      <c r="I275">
        <v>32222.920800000004</v>
      </c>
      <c r="J275" t="s">
        <v>372</v>
      </c>
    </row>
    <row r="276" spans="1:10" x14ac:dyDescent="0.35">
      <c r="A276" t="s">
        <v>660</v>
      </c>
      <c r="B276" t="s">
        <v>60</v>
      </c>
      <c r="C276" t="s">
        <v>370</v>
      </c>
      <c r="D276">
        <v>9</v>
      </c>
      <c r="E276" t="s">
        <v>403</v>
      </c>
      <c r="F276">
        <v>2022</v>
      </c>
      <c r="G276">
        <v>380.86</v>
      </c>
      <c r="H276">
        <v>0.49830000000000002</v>
      </c>
      <c r="I276">
        <v>18978.253800000002</v>
      </c>
      <c r="J276" t="s">
        <v>372</v>
      </c>
    </row>
    <row r="277" spans="1:10" x14ac:dyDescent="0.35">
      <c r="A277" t="s">
        <v>661</v>
      </c>
      <c r="B277" t="s">
        <v>267</v>
      </c>
      <c r="C277" t="s">
        <v>384</v>
      </c>
      <c r="D277">
        <v>11</v>
      </c>
      <c r="E277" t="s">
        <v>371</v>
      </c>
      <c r="F277">
        <v>2024</v>
      </c>
      <c r="G277">
        <v>454.55</v>
      </c>
      <c r="H277">
        <v>0.48730000000000001</v>
      </c>
      <c r="I277">
        <v>22150.2215</v>
      </c>
      <c r="J277" t="s">
        <v>372</v>
      </c>
    </row>
    <row r="278" spans="1:10" x14ac:dyDescent="0.35">
      <c r="A278" t="s">
        <v>662</v>
      </c>
      <c r="B278" t="s">
        <v>204</v>
      </c>
      <c r="C278" t="s">
        <v>374</v>
      </c>
      <c r="D278">
        <v>7</v>
      </c>
      <c r="E278" t="s">
        <v>375</v>
      </c>
      <c r="F278">
        <v>2022</v>
      </c>
      <c r="G278">
        <v>427.94</v>
      </c>
      <c r="H278">
        <v>0.1226</v>
      </c>
      <c r="I278">
        <v>5246.5443999999998</v>
      </c>
      <c r="J278" t="s">
        <v>372</v>
      </c>
    </row>
    <row r="279" spans="1:10" x14ac:dyDescent="0.35">
      <c r="A279" t="s">
        <v>663</v>
      </c>
      <c r="B279" t="s">
        <v>260</v>
      </c>
      <c r="C279" t="s">
        <v>384</v>
      </c>
      <c r="D279">
        <v>10</v>
      </c>
      <c r="E279" t="s">
        <v>387</v>
      </c>
      <c r="F279">
        <v>2023</v>
      </c>
      <c r="G279">
        <v>449.55</v>
      </c>
      <c r="H279">
        <v>0.72019999999999995</v>
      </c>
      <c r="I279">
        <v>32376.590999999997</v>
      </c>
      <c r="J279" t="s">
        <v>372</v>
      </c>
    </row>
    <row r="280" spans="1:10" x14ac:dyDescent="0.35">
      <c r="A280" t="s">
        <v>664</v>
      </c>
      <c r="B280" t="s">
        <v>241</v>
      </c>
      <c r="C280" t="s">
        <v>374</v>
      </c>
      <c r="D280">
        <v>10</v>
      </c>
      <c r="E280" t="s">
        <v>387</v>
      </c>
      <c r="F280">
        <v>2023</v>
      </c>
      <c r="G280">
        <v>492.35</v>
      </c>
      <c r="H280">
        <v>0.78700000000000003</v>
      </c>
      <c r="I280">
        <v>38747.945000000007</v>
      </c>
      <c r="J280" t="s">
        <v>372</v>
      </c>
    </row>
    <row r="281" spans="1:10" x14ac:dyDescent="0.35">
      <c r="A281" t="s">
        <v>665</v>
      </c>
      <c r="B281" t="s">
        <v>206</v>
      </c>
      <c r="C281" t="s">
        <v>370</v>
      </c>
      <c r="D281">
        <v>9</v>
      </c>
      <c r="E281" t="s">
        <v>403</v>
      </c>
      <c r="F281">
        <v>2022</v>
      </c>
      <c r="G281">
        <v>37.369999999999997</v>
      </c>
      <c r="H281">
        <v>0.2034</v>
      </c>
      <c r="I281">
        <v>760.10579999999993</v>
      </c>
      <c r="J281" t="s">
        <v>372</v>
      </c>
    </row>
    <row r="282" spans="1:10" x14ac:dyDescent="0.35">
      <c r="A282" t="s">
        <v>666</v>
      </c>
      <c r="B282" t="s">
        <v>290</v>
      </c>
      <c r="C282" t="s">
        <v>384</v>
      </c>
      <c r="D282">
        <v>8</v>
      </c>
      <c r="E282" t="s">
        <v>377</v>
      </c>
      <c r="F282">
        <v>2023</v>
      </c>
      <c r="G282">
        <v>76.02</v>
      </c>
      <c r="H282">
        <v>0.77400000000000002</v>
      </c>
      <c r="I282">
        <v>5883.9480000000003</v>
      </c>
      <c r="J282" t="s">
        <v>372</v>
      </c>
    </row>
    <row r="283" spans="1:10" x14ac:dyDescent="0.35">
      <c r="A283" t="s">
        <v>667</v>
      </c>
      <c r="B283" t="s">
        <v>309</v>
      </c>
      <c r="C283" t="s">
        <v>374</v>
      </c>
      <c r="D283">
        <v>7</v>
      </c>
      <c r="E283" t="s">
        <v>375</v>
      </c>
      <c r="F283">
        <v>2024</v>
      </c>
      <c r="G283">
        <v>201.3</v>
      </c>
      <c r="H283">
        <v>0.64610000000000001</v>
      </c>
      <c r="I283">
        <v>13005.993</v>
      </c>
      <c r="J283" t="s">
        <v>372</v>
      </c>
    </row>
    <row r="284" spans="1:10" x14ac:dyDescent="0.35">
      <c r="A284" t="s">
        <v>668</v>
      </c>
      <c r="B284" t="s">
        <v>206</v>
      </c>
      <c r="C284" t="s">
        <v>384</v>
      </c>
      <c r="D284">
        <v>6</v>
      </c>
      <c r="E284" t="s">
        <v>379</v>
      </c>
      <c r="F284">
        <v>2024</v>
      </c>
      <c r="G284">
        <v>283.45999999999998</v>
      </c>
      <c r="H284">
        <v>0.53120000000000001</v>
      </c>
      <c r="I284">
        <v>15057.395199999999</v>
      </c>
      <c r="J284" t="s">
        <v>372</v>
      </c>
    </row>
    <row r="285" spans="1:10" x14ac:dyDescent="0.35">
      <c r="A285" t="s">
        <v>669</v>
      </c>
      <c r="B285" t="s">
        <v>309</v>
      </c>
      <c r="C285" t="s">
        <v>384</v>
      </c>
      <c r="D285">
        <v>3</v>
      </c>
      <c r="E285" t="s">
        <v>391</v>
      </c>
      <c r="F285">
        <v>2022</v>
      </c>
      <c r="G285">
        <v>168.56</v>
      </c>
      <c r="H285">
        <v>0.1164</v>
      </c>
      <c r="I285">
        <v>1962.0384000000001</v>
      </c>
      <c r="J285" t="s">
        <v>372</v>
      </c>
    </row>
    <row r="286" spans="1:10" x14ac:dyDescent="0.35">
      <c r="A286" t="s">
        <v>670</v>
      </c>
      <c r="B286" t="s">
        <v>108</v>
      </c>
      <c r="C286" t="s">
        <v>374</v>
      </c>
      <c r="D286">
        <v>11</v>
      </c>
      <c r="E286" t="s">
        <v>371</v>
      </c>
      <c r="F286">
        <v>2024</v>
      </c>
      <c r="G286">
        <v>262.99</v>
      </c>
      <c r="H286">
        <v>0.64649999999999996</v>
      </c>
      <c r="I286">
        <v>17002.303499999998</v>
      </c>
      <c r="J286" t="s">
        <v>372</v>
      </c>
    </row>
    <row r="287" spans="1:10" x14ac:dyDescent="0.35">
      <c r="A287" t="s">
        <v>671</v>
      </c>
      <c r="B287" t="s">
        <v>84</v>
      </c>
      <c r="C287" t="s">
        <v>384</v>
      </c>
      <c r="D287">
        <v>8</v>
      </c>
      <c r="E287" t="s">
        <v>377</v>
      </c>
      <c r="F287">
        <v>2024</v>
      </c>
      <c r="G287">
        <v>397.62</v>
      </c>
      <c r="H287">
        <v>0.48370000000000002</v>
      </c>
      <c r="I287">
        <v>19232.879400000002</v>
      </c>
      <c r="J287" t="s">
        <v>372</v>
      </c>
    </row>
    <row r="288" spans="1:10" x14ac:dyDescent="0.35">
      <c r="A288" t="s">
        <v>672</v>
      </c>
      <c r="B288" t="s">
        <v>193</v>
      </c>
      <c r="C288" t="s">
        <v>370</v>
      </c>
      <c r="D288">
        <v>3</v>
      </c>
      <c r="E288" t="s">
        <v>391</v>
      </c>
      <c r="F288">
        <v>2024</v>
      </c>
      <c r="G288">
        <v>232.39</v>
      </c>
      <c r="H288">
        <v>0.26300000000000001</v>
      </c>
      <c r="I288">
        <v>6111.857</v>
      </c>
      <c r="J288" t="s">
        <v>372</v>
      </c>
    </row>
    <row r="289" spans="1:10" x14ac:dyDescent="0.35">
      <c r="A289" t="s">
        <v>673</v>
      </c>
      <c r="B289" t="s">
        <v>303</v>
      </c>
      <c r="C289" t="s">
        <v>374</v>
      </c>
      <c r="D289">
        <v>7</v>
      </c>
      <c r="E289" t="s">
        <v>375</v>
      </c>
      <c r="F289">
        <v>2022</v>
      </c>
      <c r="G289">
        <v>217.55</v>
      </c>
      <c r="H289">
        <v>0.4017</v>
      </c>
      <c r="I289">
        <v>8738.9835000000003</v>
      </c>
      <c r="J289" t="s">
        <v>372</v>
      </c>
    </row>
    <row r="290" spans="1:10" x14ac:dyDescent="0.35">
      <c r="A290" t="s">
        <v>674</v>
      </c>
      <c r="B290" t="s">
        <v>84</v>
      </c>
      <c r="C290" t="s">
        <v>374</v>
      </c>
      <c r="D290">
        <v>4</v>
      </c>
      <c r="E290" t="s">
        <v>394</v>
      </c>
      <c r="F290">
        <v>2022</v>
      </c>
      <c r="G290">
        <v>284.31</v>
      </c>
      <c r="H290">
        <v>0.42709999999999998</v>
      </c>
      <c r="I290">
        <v>12142.880099999998</v>
      </c>
      <c r="J290" t="s">
        <v>372</v>
      </c>
    </row>
    <row r="291" spans="1:10" x14ac:dyDescent="0.35">
      <c r="A291" t="s">
        <v>675</v>
      </c>
      <c r="B291" t="s">
        <v>127</v>
      </c>
      <c r="C291" t="s">
        <v>370</v>
      </c>
      <c r="D291">
        <v>12</v>
      </c>
      <c r="E291" t="s">
        <v>487</v>
      </c>
      <c r="F291">
        <v>2022</v>
      </c>
      <c r="G291">
        <v>92.04</v>
      </c>
      <c r="H291">
        <v>0.3911</v>
      </c>
      <c r="I291">
        <v>3599.6844000000001</v>
      </c>
      <c r="J291" t="s">
        <v>372</v>
      </c>
    </row>
    <row r="292" spans="1:10" x14ac:dyDescent="0.35">
      <c r="A292" t="s">
        <v>676</v>
      </c>
      <c r="B292" t="s">
        <v>235</v>
      </c>
      <c r="C292" t="s">
        <v>384</v>
      </c>
      <c r="D292">
        <v>6</v>
      </c>
      <c r="E292" t="s">
        <v>379</v>
      </c>
      <c r="F292">
        <v>2024</v>
      </c>
      <c r="G292">
        <v>122.59</v>
      </c>
      <c r="H292">
        <v>0.77600000000000002</v>
      </c>
      <c r="I292">
        <v>9512.9840000000004</v>
      </c>
      <c r="J292" t="s">
        <v>372</v>
      </c>
    </row>
    <row r="293" spans="1:10" x14ac:dyDescent="0.35">
      <c r="A293" t="s">
        <v>677</v>
      </c>
      <c r="B293" t="s">
        <v>141</v>
      </c>
      <c r="C293" t="s">
        <v>384</v>
      </c>
      <c r="D293">
        <v>1</v>
      </c>
      <c r="E293" t="s">
        <v>381</v>
      </c>
      <c r="F293">
        <v>2023</v>
      </c>
      <c r="G293">
        <v>97.25</v>
      </c>
      <c r="H293">
        <v>0.38009999999999999</v>
      </c>
      <c r="I293">
        <v>3696.4725000000003</v>
      </c>
      <c r="J293" t="s">
        <v>372</v>
      </c>
    </row>
    <row r="294" spans="1:10" x14ac:dyDescent="0.35">
      <c r="A294" t="s">
        <v>678</v>
      </c>
      <c r="B294" t="s">
        <v>194</v>
      </c>
      <c r="C294" t="s">
        <v>370</v>
      </c>
      <c r="D294">
        <v>8</v>
      </c>
      <c r="E294" t="s">
        <v>377</v>
      </c>
      <c r="F294">
        <v>2023</v>
      </c>
      <c r="G294">
        <v>12.43</v>
      </c>
      <c r="H294">
        <v>0.1663</v>
      </c>
      <c r="I294">
        <v>206.71089999999998</v>
      </c>
      <c r="J294" t="s">
        <v>372</v>
      </c>
    </row>
    <row r="295" spans="1:10" x14ac:dyDescent="0.35">
      <c r="A295" t="s">
        <v>679</v>
      </c>
      <c r="B295" t="s">
        <v>198</v>
      </c>
      <c r="C295" t="s">
        <v>374</v>
      </c>
      <c r="D295">
        <v>7</v>
      </c>
      <c r="E295" t="s">
        <v>375</v>
      </c>
      <c r="F295">
        <v>2022</v>
      </c>
      <c r="G295">
        <v>83.97</v>
      </c>
      <c r="H295">
        <v>0.53090000000000004</v>
      </c>
      <c r="I295">
        <v>4457.9673000000003</v>
      </c>
      <c r="J295" t="s">
        <v>372</v>
      </c>
    </row>
    <row r="296" spans="1:10" x14ac:dyDescent="0.35">
      <c r="A296" t="s">
        <v>680</v>
      </c>
      <c r="B296" t="s">
        <v>193</v>
      </c>
      <c r="C296" t="s">
        <v>384</v>
      </c>
      <c r="D296">
        <v>3</v>
      </c>
      <c r="E296" t="s">
        <v>391</v>
      </c>
      <c r="F296">
        <v>2023</v>
      </c>
      <c r="G296">
        <v>426.17</v>
      </c>
      <c r="H296">
        <v>0.68400000000000005</v>
      </c>
      <c r="I296">
        <v>29150.028000000002</v>
      </c>
      <c r="J296" t="s">
        <v>372</v>
      </c>
    </row>
    <row r="297" spans="1:10" x14ac:dyDescent="0.35">
      <c r="A297" t="s">
        <v>681</v>
      </c>
      <c r="B297" t="s">
        <v>52</v>
      </c>
      <c r="C297" t="s">
        <v>384</v>
      </c>
      <c r="D297">
        <v>6</v>
      </c>
      <c r="E297" t="s">
        <v>379</v>
      </c>
      <c r="F297">
        <v>2023</v>
      </c>
      <c r="G297">
        <v>244.54</v>
      </c>
      <c r="H297">
        <v>0.73429999999999995</v>
      </c>
      <c r="I297">
        <v>17956.572199999999</v>
      </c>
      <c r="J297" t="s">
        <v>372</v>
      </c>
    </row>
    <row r="298" spans="1:10" x14ac:dyDescent="0.35">
      <c r="A298" t="s">
        <v>682</v>
      </c>
      <c r="B298" t="s">
        <v>56</v>
      </c>
      <c r="C298" t="s">
        <v>384</v>
      </c>
      <c r="D298">
        <v>4</v>
      </c>
      <c r="E298" t="s">
        <v>394</v>
      </c>
      <c r="F298">
        <v>2022</v>
      </c>
      <c r="G298">
        <v>283.74</v>
      </c>
      <c r="H298">
        <v>0.61719999999999997</v>
      </c>
      <c r="I298">
        <v>17512.432799999999</v>
      </c>
      <c r="J298" t="s">
        <v>372</v>
      </c>
    </row>
    <row r="299" spans="1:10" x14ac:dyDescent="0.35">
      <c r="A299" t="s">
        <v>683</v>
      </c>
      <c r="B299" t="s">
        <v>354</v>
      </c>
      <c r="C299" t="s">
        <v>374</v>
      </c>
      <c r="D299">
        <v>8</v>
      </c>
      <c r="E299" t="s">
        <v>377</v>
      </c>
      <c r="F299">
        <v>2022</v>
      </c>
      <c r="G299">
        <v>119.65</v>
      </c>
      <c r="H299">
        <v>0.55630000000000002</v>
      </c>
      <c r="I299">
        <v>6656.1295</v>
      </c>
      <c r="J299" t="s">
        <v>372</v>
      </c>
    </row>
    <row r="300" spans="1:10" x14ac:dyDescent="0.35">
      <c r="A300" t="s">
        <v>684</v>
      </c>
      <c r="B300" t="s">
        <v>99</v>
      </c>
      <c r="C300" t="s">
        <v>384</v>
      </c>
      <c r="D300">
        <v>5</v>
      </c>
      <c r="E300" t="s">
        <v>417</v>
      </c>
      <c r="F300">
        <v>2022</v>
      </c>
      <c r="G300">
        <v>46.77</v>
      </c>
      <c r="H300">
        <v>0.34699999999999998</v>
      </c>
      <c r="I300">
        <v>1622.9189999999999</v>
      </c>
      <c r="J300" t="s">
        <v>372</v>
      </c>
    </row>
    <row r="301" spans="1:10" x14ac:dyDescent="0.35">
      <c r="A301" t="s">
        <v>685</v>
      </c>
      <c r="B301" t="s">
        <v>299</v>
      </c>
      <c r="C301" t="s">
        <v>370</v>
      </c>
      <c r="D301">
        <v>7</v>
      </c>
      <c r="E301" t="s">
        <v>375</v>
      </c>
      <c r="F301">
        <v>2024</v>
      </c>
      <c r="G301">
        <v>498.75</v>
      </c>
      <c r="H301">
        <v>0.60250000000000004</v>
      </c>
      <c r="I301">
        <v>30049.687500000004</v>
      </c>
      <c r="J301" t="s">
        <v>372</v>
      </c>
    </row>
    <row r="302" spans="1:10" x14ac:dyDescent="0.35">
      <c r="A302" t="s">
        <v>686</v>
      </c>
      <c r="B302" t="s">
        <v>305</v>
      </c>
      <c r="C302" t="s">
        <v>384</v>
      </c>
      <c r="D302">
        <v>1</v>
      </c>
      <c r="E302" t="s">
        <v>381</v>
      </c>
      <c r="F302">
        <v>2024</v>
      </c>
      <c r="G302">
        <v>156.56</v>
      </c>
      <c r="H302">
        <v>0.71130000000000004</v>
      </c>
      <c r="I302">
        <v>11136.112800000001</v>
      </c>
      <c r="J302" t="s">
        <v>372</v>
      </c>
    </row>
    <row r="303" spans="1:10" x14ac:dyDescent="0.35">
      <c r="A303" t="s">
        <v>687</v>
      </c>
      <c r="B303" t="s">
        <v>5</v>
      </c>
      <c r="C303" t="s">
        <v>374</v>
      </c>
      <c r="D303">
        <v>3</v>
      </c>
      <c r="E303" t="s">
        <v>391</v>
      </c>
      <c r="F303">
        <v>2024</v>
      </c>
      <c r="G303">
        <v>25.96</v>
      </c>
      <c r="H303">
        <v>0.36049999999999999</v>
      </c>
      <c r="I303">
        <v>935.85799999999995</v>
      </c>
      <c r="J303" t="s">
        <v>372</v>
      </c>
    </row>
    <row r="304" spans="1:10" x14ac:dyDescent="0.35">
      <c r="A304" t="s">
        <v>688</v>
      </c>
      <c r="B304" t="s">
        <v>335</v>
      </c>
      <c r="C304" t="s">
        <v>374</v>
      </c>
      <c r="D304">
        <v>9</v>
      </c>
      <c r="E304" t="s">
        <v>403</v>
      </c>
      <c r="F304">
        <v>2024</v>
      </c>
      <c r="G304">
        <v>414.4</v>
      </c>
      <c r="H304">
        <v>0.71240000000000003</v>
      </c>
      <c r="I304">
        <v>29521.856000000003</v>
      </c>
      <c r="J304" t="s">
        <v>372</v>
      </c>
    </row>
    <row r="305" spans="1:10" x14ac:dyDescent="0.35">
      <c r="A305" t="s">
        <v>689</v>
      </c>
      <c r="B305" t="s">
        <v>249</v>
      </c>
      <c r="C305" t="s">
        <v>384</v>
      </c>
      <c r="D305">
        <v>4</v>
      </c>
      <c r="E305" t="s">
        <v>394</v>
      </c>
      <c r="F305">
        <v>2024</v>
      </c>
      <c r="G305">
        <v>466.8</v>
      </c>
      <c r="H305">
        <v>0.48609999999999998</v>
      </c>
      <c r="I305">
        <v>22691.147999999997</v>
      </c>
      <c r="J305" t="s">
        <v>372</v>
      </c>
    </row>
    <row r="306" spans="1:10" x14ac:dyDescent="0.35">
      <c r="A306" t="s">
        <v>690</v>
      </c>
      <c r="B306" t="s">
        <v>95</v>
      </c>
      <c r="C306" t="s">
        <v>384</v>
      </c>
      <c r="D306">
        <v>9</v>
      </c>
      <c r="E306" t="s">
        <v>403</v>
      </c>
      <c r="F306">
        <v>2024</v>
      </c>
      <c r="G306">
        <v>330.67</v>
      </c>
      <c r="H306">
        <v>0.26669999999999999</v>
      </c>
      <c r="I306">
        <v>8818.9688999999998</v>
      </c>
      <c r="J306" t="s">
        <v>372</v>
      </c>
    </row>
    <row r="307" spans="1:10" x14ac:dyDescent="0.35">
      <c r="A307" t="s">
        <v>691</v>
      </c>
      <c r="B307" t="s">
        <v>307</v>
      </c>
      <c r="C307" t="s">
        <v>384</v>
      </c>
      <c r="D307">
        <v>6</v>
      </c>
      <c r="E307" t="s">
        <v>379</v>
      </c>
      <c r="F307">
        <v>2024</v>
      </c>
      <c r="G307">
        <v>241.5</v>
      </c>
      <c r="H307">
        <v>0.72330000000000005</v>
      </c>
      <c r="I307">
        <v>17467.695</v>
      </c>
      <c r="J307" t="s">
        <v>372</v>
      </c>
    </row>
    <row r="308" spans="1:10" x14ac:dyDescent="0.35">
      <c r="A308" t="s">
        <v>692</v>
      </c>
      <c r="B308" t="s">
        <v>279</v>
      </c>
      <c r="C308" t="s">
        <v>370</v>
      </c>
      <c r="D308">
        <v>12</v>
      </c>
      <c r="E308" t="s">
        <v>487</v>
      </c>
      <c r="F308">
        <v>2022</v>
      </c>
      <c r="G308">
        <v>244.83</v>
      </c>
      <c r="H308">
        <v>0.40060000000000001</v>
      </c>
      <c r="I308">
        <v>9807.8898000000008</v>
      </c>
      <c r="J308" t="s">
        <v>372</v>
      </c>
    </row>
    <row r="309" spans="1:10" x14ac:dyDescent="0.35">
      <c r="A309" t="s">
        <v>693</v>
      </c>
      <c r="B309" t="s">
        <v>356</v>
      </c>
      <c r="C309" t="s">
        <v>370</v>
      </c>
      <c r="D309">
        <v>10</v>
      </c>
      <c r="E309" t="s">
        <v>387</v>
      </c>
      <c r="F309">
        <v>2023</v>
      </c>
      <c r="G309">
        <v>375.42</v>
      </c>
      <c r="H309">
        <v>0.53620000000000001</v>
      </c>
      <c r="I309">
        <v>20130.020400000001</v>
      </c>
      <c r="J309" t="s">
        <v>372</v>
      </c>
    </row>
    <row r="310" spans="1:10" x14ac:dyDescent="0.35">
      <c r="A310" t="s">
        <v>694</v>
      </c>
      <c r="B310" t="s">
        <v>268</v>
      </c>
      <c r="C310" t="s">
        <v>374</v>
      </c>
      <c r="D310">
        <v>9</v>
      </c>
      <c r="E310" t="s">
        <v>403</v>
      </c>
      <c r="F310">
        <v>2022</v>
      </c>
      <c r="G310">
        <v>346.02</v>
      </c>
      <c r="H310">
        <v>0.69450000000000001</v>
      </c>
      <c r="I310">
        <v>24031.089</v>
      </c>
      <c r="J310" t="s">
        <v>372</v>
      </c>
    </row>
    <row r="311" spans="1:10" x14ac:dyDescent="0.35">
      <c r="A311" t="s">
        <v>695</v>
      </c>
      <c r="B311" t="s">
        <v>214</v>
      </c>
      <c r="C311" t="s">
        <v>370</v>
      </c>
      <c r="D311">
        <v>7</v>
      </c>
      <c r="E311" t="s">
        <v>375</v>
      </c>
      <c r="F311">
        <v>2023</v>
      </c>
      <c r="G311">
        <v>451.56</v>
      </c>
      <c r="H311">
        <v>0.77890000000000004</v>
      </c>
      <c r="I311">
        <v>35172.008400000006</v>
      </c>
      <c r="J311" t="s">
        <v>372</v>
      </c>
    </row>
    <row r="312" spans="1:10" x14ac:dyDescent="0.35">
      <c r="A312" t="s">
        <v>696</v>
      </c>
      <c r="B312" t="s">
        <v>285</v>
      </c>
      <c r="C312" t="s">
        <v>374</v>
      </c>
      <c r="D312">
        <v>4</v>
      </c>
      <c r="E312" t="s">
        <v>394</v>
      </c>
      <c r="F312">
        <v>2023</v>
      </c>
      <c r="G312">
        <v>472.75</v>
      </c>
      <c r="H312">
        <v>0.63139999999999996</v>
      </c>
      <c r="I312">
        <v>29849.435000000001</v>
      </c>
      <c r="J312" t="s">
        <v>372</v>
      </c>
    </row>
    <row r="313" spans="1:10" x14ac:dyDescent="0.35">
      <c r="A313" t="s">
        <v>697</v>
      </c>
      <c r="B313" t="s">
        <v>225</v>
      </c>
      <c r="C313" t="s">
        <v>384</v>
      </c>
      <c r="D313">
        <v>11</v>
      </c>
      <c r="E313" t="s">
        <v>371</v>
      </c>
      <c r="F313">
        <v>2022</v>
      </c>
      <c r="G313">
        <v>362.67</v>
      </c>
      <c r="H313">
        <v>0.54469999999999996</v>
      </c>
      <c r="I313">
        <v>19754.634900000001</v>
      </c>
      <c r="J313" t="s">
        <v>372</v>
      </c>
    </row>
    <row r="314" spans="1:10" x14ac:dyDescent="0.35">
      <c r="A314" t="s">
        <v>698</v>
      </c>
      <c r="B314" t="s">
        <v>208</v>
      </c>
      <c r="C314" t="s">
        <v>370</v>
      </c>
      <c r="D314">
        <v>12</v>
      </c>
      <c r="E314" t="s">
        <v>487</v>
      </c>
      <c r="F314">
        <v>2024</v>
      </c>
      <c r="G314">
        <v>465.81</v>
      </c>
      <c r="H314">
        <v>0.3947</v>
      </c>
      <c r="I314">
        <v>18385.520700000001</v>
      </c>
      <c r="J314" t="s">
        <v>372</v>
      </c>
    </row>
    <row r="315" spans="1:10" x14ac:dyDescent="0.35">
      <c r="A315" t="s">
        <v>699</v>
      </c>
      <c r="B315" t="s">
        <v>263</v>
      </c>
      <c r="C315" t="s">
        <v>374</v>
      </c>
      <c r="D315">
        <v>9</v>
      </c>
      <c r="E315" t="s">
        <v>403</v>
      </c>
      <c r="F315">
        <v>2024</v>
      </c>
      <c r="G315">
        <v>364.84</v>
      </c>
      <c r="H315">
        <v>0.47560000000000002</v>
      </c>
      <c r="I315">
        <v>17351.790399999998</v>
      </c>
      <c r="J315" t="s">
        <v>372</v>
      </c>
    </row>
    <row r="316" spans="1:10" x14ac:dyDescent="0.35">
      <c r="A316" t="s">
        <v>700</v>
      </c>
      <c r="B316" t="s">
        <v>320</v>
      </c>
      <c r="C316" t="s">
        <v>374</v>
      </c>
      <c r="D316">
        <v>3</v>
      </c>
      <c r="E316" t="s">
        <v>391</v>
      </c>
      <c r="F316">
        <v>2024</v>
      </c>
      <c r="G316">
        <v>298.68</v>
      </c>
      <c r="H316">
        <v>0.80889999999999995</v>
      </c>
      <c r="I316">
        <v>24160.225200000001</v>
      </c>
      <c r="J316" t="s">
        <v>372</v>
      </c>
    </row>
    <row r="317" spans="1:10" x14ac:dyDescent="0.35">
      <c r="A317" t="s">
        <v>701</v>
      </c>
      <c r="B317" t="s">
        <v>235</v>
      </c>
      <c r="C317" t="s">
        <v>374</v>
      </c>
      <c r="D317">
        <v>6</v>
      </c>
      <c r="E317" t="s">
        <v>379</v>
      </c>
      <c r="F317">
        <v>2024</v>
      </c>
      <c r="G317">
        <v>1.67</v>
      </c>
      <c r="H317">
        <v>0.40310000000000001</v>
      </c>
      <c r="I317">
        <v>67.317700000000002</v>
      </c>
      <c r="J317" t="s">
        <v>372</v>
      </c>
    </row>
    <row r="318" spans="1:10" x14ac:dyDescent="0.35">
      <c r="A318" t="s">
        <v>702</v>
      </c>
      <c r="B318" t="s">
        <v>115</v>
      </c>
      <c r="C318" t="s">
        <v>370</v>
      </c>
      <c r="D318">
        <v>12</v>
      </c>
      <c r="E318" t="s">
        <v>487</v>
      </c>
      <c r="F318">
        <v>2022</v>
      </c>
      <c r="G318">
        <v>283.92</v>
      </c>
      <c r="H318">
        <v>0.7913</v>
      </c>
      <c r="I318">
        <v>22466.589599999999</v>
      </c>
      <c r="J318" t="s">
        <v>372</v>
      </c>
    </row>
    <row r="319" spans="1:10" x14ac:dyDescent="0.35">
      <c r="A319" t="s">
        <v>703</v>
      </c>
      <c r="B319" t="s">
        <v>253</v>
      </c>
      <c r="C319" t="s">
        <v>384</v>
      </c>
      <c r="D319">
        <v>7</v>
      </c>
      <c r="E319" t="s">
        <v>375</v>
      </c>
      <c r="F319">
        <v>2024</v>
      </c>
      <c r="G319">
        <v>0</v>
      </c>
      <c r="H319">
        <v>0.1074</v>
      </c>
      <c r="I319">
        <v>0</v>
      </c>
      <c r="J319" t="s">
        <v>423</v>
      </c>
    </row>
    <row r="320" spans="1:10" x14ac:dyDescent="0.35">
      <c r="A320" t="s">
        <v>704</v>
      </c>
      <c r="B320" t="s">
        <v>45</v>
      </c>
      <c r="C320" t="s">
        <v>374</v>
      </c>
      <c r="D320">
        <v>3</v>
      </c>
      <c r="E320" t="s">
        <v>391</v>
      </c>
      <c r="F320">
        <v>2022</v>
      </c>
      <c r="G320">
        <v>22.87</v>
      </c>
      <c r="H320">
        <v>0.3654</v>
      </c>
      <c r="I320">
        <v>835.66980000000001</v>
      </c>
      <c r="J320" t="s">
        <v>372</v>
      </c>
    </row>
    <row r="321" spans="1:10" x14ac:dyDescent="0.35">
      <c r="A321" t="s">
        <v>705</v>
      </c>
      <c r="B321" t="s">
        <v>253</v>
      </c>
      <c r="C321" t="s">
        <v>384</v>
      </c>
      <c r="D321">
        <v>2</v>
      </c>
      <c r="E321" t="s">
        <v>389</v>
      </c>
      <c r="F321">
        <v>2023</v>
      </c>
      <c r="G321">
        <v>283.42</v>
      </c>
      <c r="H321">
        <v>0.61570000000000003</v>
      </c>
      <c r="I321">
        <v>17450.169400000002</v>
      </c>
      <c r="J321" t="s">
        <v>372</v>
      </c>
    </row>
    <row r="322" spans="1:10" x14ac:dyDescent="0.35">
      <c r="A322" t="s">
        <v>706</v>
      </c>
      <c r="B322" t="s">
        <v>310</v>
      </c>
      <c r="C322" t="s">
        <v>370</v>
      </c>
      <c r="D322">
        <v>10</v>
      </c>
      <c r="E322" t="s">
        <v>387</v>
      </c>
      <c r="F322">
        <v>2023</v>
      </c>
      <c r="G322">
        <v>330.28</v>
      </c>
      <c r="H322">
        <v>0.55549999999999999</v>
      </c>
      <c r="I322">
        <v>18347.053999999996</v>
      </c>
      <c r="J322" t="s">
        <v>372</v>
      </c>
    </row>
    <row r="323" spans="1:10" x14ac:dyDescent="0.35">
      <c r="A323" t="s">
        <v>707</v>
      </c>
      <c r="B323" t="s">
        <v>313</v>
      </c>
      <c r="C323" t="s">
        <v>384</v>
      </c>
      <c r="D323">
        <v>3</v>
      </c>
      <c r="E323" t="s">
        <v>391</v>
      </c>
      <c r="F323">
        <v>2022</v>
      </c>
      <c r="G323">
        <v>363.46</v>
      </c>
      <c r="H323">
        <v>0.68920000000000003</v>
      </c>
      <c r="I323">
        <v>25049.663199999999</v>
      </c>
      <c r="J323" t="s">
        <v>372</v>
      </c>
    </row>
    <row r="324" spans="1:10" x14ac:dyDescent="0.35">
      <c r="A324" t="s">
        <v>708</v>
      </c>
      <c r="B324" t="s">
        <v>283</v>
      </c>
      <c r="C324" t="s">
        <v>374</v>
      </c>
      <c r="D324">
        <v>4</v>
      </c>
      <c r="E324" t="s">
        <v>394</v>
      </c>
      <c r="F324">
        <v>2023</v>
      </c>
      <c r="G324">
        <v>487.9</v>
      </c>
      <c r="H324">
        <v>0.75480000000000003</v>
      </c>
      <c r="I324">
        <v>36826.691999999995</v>
      </c>
      <c r="J324" t="s">
        <v>372</v>
      </c>
    </row>
    <row r="325" spans="1:10" x14ac:dyDescent="0.35">
      <c r="A325" t="s">
        <v>709</v>
      </c>
      <c r="B325" t="s">
        <v>150</v>
      </c>
      <c r="C325" t="s">
        <v>370</v>
      </c>
      <c r="D325">
        <v>9</v>
      </c>
      <c r="E325" t="s">
        <v>403</v>
      </c>
      <c r="F325">
        <v>2024</v>
      </c>
      <c r="G325">
        <v>152.72</v>
      </c>
      <c r="H325">
        <v>0.1012</v>
      </c>
      <c r="I325">
        <v>1545.5264</v>
      </c>
      <c r="J325" t="s">
        <v>372</v>
      </c>
    </row>
    <row r="326" spans="1:10" x14ac:dyDescent="0.35">
      <c r="A326" t="s">
        <v>710</v>
      </c>
      <c r="B326" t="s">
        <v>54</v>
      </c>
      <c r="C326" t="s">
        <v>370</v>
      </c>
      <c r="D326">
        <v>7</v>
      </c>
      <c r="E326" t="s">
        <v>375</v>
      </c>
      <c r="F326">
        <v>2024</v>
      </c>
      <c r="G326">
        <v>40.1</v>
      </c>
      <c r="H326">
        <v>0.54279999999999995</v>
      </c>
      <c r="I326">
        <v>2176.6279999999997</v>
      </c>
      <c r="J326" t="s">
        <v>372</v>
      </c>
    </row>
    <row r="327" spans="1:10" x14ac:dyDescent="0.35">
      <c r="A327" t="s">
        <v>711</v>
      </c>
      <c r="B327" t="s">
        <v>35</v>
      </c>
      <c r="C327" t="s">
        <v>370</v>
      </c>
      <c r="D327">
        <v>8</v>
      </c>
      <c r="E327" t="s">
        <v>377</v>
      </c>
      <c r="F327">
        <v>2024</v>
      </c>
      <c r="G327">
        <v>357.58</v>
      </c>
      <c r="H327">
        <v>0.4178</v>
      </c>
      <c r="I327">
        <v>14939.692399999998</v>
      </c>
      <c r="J327" t="s">
        <v>372</v>
      </c>
    </row>
    <row r="328" spans="1:10" x14ac:dyDescent="0.35">
      <c r="A328" t="s">
        <v>712</v>
      </c>
      <c r="B328" t="s">
        <v>310</v>
      </c>
      <c r="C328" t="s">
        <v>384</v>
      </c>
      <c r="D328">
        <v>7</v>
      </c>
      <c r="E328" t="s">
        <v>375</v>
      </c>
      <c r="F328">
        <v>2024</v>
      </c>
      <c r="G328">
        <v>37.44</v>
      </c>
      <c r="H328">
        <v>0.39419999999999999</v>
      </c>
      <c r="I328">
        <v>1475.8847999999998</v>
      </c>
      <c r="J328" t="s">
        <v>372</v>
      </c>
    </row>
    <row r="329" spans="1:10" x14ac:dyDescent="0.35">
      <c r="A329" t="s">
        <v>713</v>
      </c>
      <c r="B329" t="s">
        <v>259</v>
      </c>
      <c r="C329" t="s">
        <v>374</v>
      </c>
      <c r="D329">
        <v>11</v>
      </c>
      <c r="E329" t="s">
        <v>371</v>
      </c>
      <c r="F329">
        <v>2024</v>
      </c>
      <c r="G329">
        <v>353.3</v>
      </c>
      <c r="H329">
        <v>0.77739999999999998</v>
      </c>
      <c r="I329">
        <v>27465.541999999998</v>
      </c>
      <c r="J329" t="s">
        <v>372</v>
      </c>
    </row>
    <row r="330" spans="1:10" x14ac:dyDescent="0.35">
      <c r="A330" t="s">
        <v>714</v>
      </c>
      <c r="B330" t="s">
        <v>343</v>
      </c>
      <c r="C330" t="s">
        <v>384</v>
      </c>
      <c r="D330">
        <v>10</v>
      </c>
      <c r="E330" t="s">
        <v>387</v>
      </c>
      <c r="F330">
        <v>2022</v>
      </c>
      <c r="G330">
        <v>194.3</v>
      </c>
      <c r="H330">
        <v>0.21829999999999999</v>
      </c>
      <c r="I330">
        <v>4241.5689999999995</v>
      </c>
      <c r="J330" t="s">
        <v>372</v>
      </c>
    </row>
    <row r="331" spans="1:10" x14ac:dyDescent="0.35">
      <c r="A331" t="s">
        <v>715</v>
      </c>
      <c r="B331" t="s">
        <v>156</v>
      </c>
      <c r="C331" t="s">
        <v>374</v>
      </c>
      <c r="D331">
        <v>6</v>
      </c>
      <c r="E331" t="s">
        <v>379</v>
      </c>
      <c r="F331">
        <v>2022</v>
      </c>
      <c r="G331">
        <v>160.68</v>
      </c>
      <c r="H331">
        <v>0.25390000000000001</v>
      </c>
      <c r="I331">
        <v>4079.6652000000004</v>
      </c>
      <c r="J331" t="s">
        <v>372</v>
      </c>
    </row>
    <row r="332" spans="1:10" x14ac:dyDescent="0.35">
      <c r="A332" t="s">
        <v>716</v>
      </c>
      <c r="B332" t="s">
        <v>227</v>
      </c>
      <c r="C332" t="s">
        <v>370</v>
      </c>
      <c r="D332">
        <v>11</v>
      </c>
      <c r="E332" t="s">
        <v>371</v>
      </c>
      <c r="F332">
        <v>2023</v>
      </c>
      <c r="G332">
        <v>201.68</v>
      </c>
      <c r="H332">
        <v>0.62319999999999998</v>
      </c>
      <c r="I332">
        <v>12568.6976</v>
      </c>
      <c r="J332" t="s">
        <v>372</v>
      </c>
    </row>
    <row r="333" spans="1:10" x14ac:dyDescent="0.35">
      <c r="A333" t="s">
        <v>717</v>
      </c>
      <c r="B333" t="s">
        <v>103</v>
      </c>
      <c r="C333" t="s">
        <v>374</v>
      </c>
      <c r="D333">
        <v>2</v>
      </c>
      <c r="E333" t="s">
        <v>389</v>
      </c>
      <c r="F333">
        <v>2022</v>
      </c>
      <c r="G333">
        <v>77.36</v>
      </c>
      <c r="H333">
        <v>0.82340000000000002</v>
      </c>
      <c r="I333">
        <v>6369.8224</v>
      </c>
      <c r="J333" t="s">
        <v>372</v>
      </c>
    </row>
    <row r="334" spans="1:10" x14ac:dyDescent="0.35">
      <c r="A334" t="s">
        <v>718</v>
      </c>
      <c r="B334" t="s">
        <v>242</v>
      </c>
      <c r="C334" t="s">
        <v>370</v>
      </c>
      <c r="D334">
        <v>10</v>
      </c>
      <c r="E334" t="s">
        <v>387</v>
      </c>
      <c r="F334">
        <v>2023</v>
      </c>
      <c r="G334">
        <v>154.36000000000001</v>
      </c>
      <c r="H334">
        <v>0.22559999999999999</v>
      </c>
      <c r="I334">
        <v>3482.3616000000002</v>
      </c>
      <c r="J334" t="s">
        <v>372</v>
      </c>
    </row>
    <row r="335" spans="1:10" x14ac:dyDescent="0.35">
      <c r="A335" t="s">
        <v>719</v>
      </c>
      <c r="B335" t="s">
        <v>267</v>
      </c>
      <c r="C335" t="s">
        <v>370</v>
      </c>
      <c r="D335">
        <v>11</v>
      </c>
      <c r="E335" t="s">
        <v>371</v>
      </c>
      <c r="F335">
        <v>2023</v>
      </c>
      <c r="G335">
        <v>466.35</v>
      </c>
      <c r="H335">
        <v>0.47789999999999999</v>
      </c>
      <c r="I335">
        <v>22286.8665</v>
      </c>
      <c r="J335" t="s">
        <v>372</v>
      </c>
    </row>
    <row r="336" spans="1:10" x14ac:dyDescent="0.35">
      <c r="A336" t="s">
        <v>720</v>
      </c>
      <c r="B336" t="s">
        <v>219</v>
      </c>
      <c r="C336" t="s">
        <v>384</v>
      </c>
      <c r="D336">
        <v>11</v>
      </c>
      <c r="E336" t="s">
        <v>371</v>
      </c>
      <c r="F336">
        <v>2023</v>
      </c>
      <c r="G336">
        <v>108.34</v>
      </c>
      <c r="H336">
        <v>0.15040000000000001</v>
      </c>
      <c r="I336">
        <v>1629.4336000000001</v>
      </c>
      <c r="J336" t="s">
        <v>372</v>
      </c>
    </row>
    <row r="337" spans="1:10" x14ac:dyDescent="0.35">
      <c r="A337" t="s">
        <v>721</v>
      </c>
      <c r="B337" t="s">
        <v>5</v>
      </c>
      <c r="C337" t="s">
        <v>374</v>
      </c>
      <c r="D337">
        <v>12</v>
      </c>
      <c r="E337" t="s">
        <v>487</v>
      </c>
      <c r="F337">
        <v>2023</v>
      </c>
      <c r="G337">
        <v>96.28</v>
      </c>
      <c r="H337">
        <v>0.29630000000000001</v>
      </c>
      <c r="I337">
        <v>2852.7764000000002</v>
      </c>
      <c r="J337" t="s">
        <v>372</v>
      </c>
    </row>
    <row r="338" spans="1:10" x14ac:dyDescent="0.35">
      <c r="A338" t="s">
        <v>722</v>
      </c>
      <c r="B338" t="s">
        <v>52</v>
      </c>
      <c r="C338" t="s">
        <v>374</v>
      </c>
      <c r="D338">
        <v>7</v>
      </c>
      <c r="E338" t="s">
        <v>375</v>
      </c>
      <c r="F338">
        <v>2024</v>
      </c>
      <c r="G338">
        <v>406.07</v>
      </c>
      <c r="H338">
        <v>0.49199999999999999</v>
      </c>
      <c r="I338">
        <v>19978.644</v>
      </c>
      <c r="J338" t="s">
        <v>372</v>
      </c>
    </row>
    <row r="339" spans="1:10" x14ac:dyDescent="0.35">
      <c r="A339" t="s">
        <v>723</v>
      </c>
      <c r="B339" t="s">
        <v>72</v>
      </c>
      <c r="C339" t="s">
        <v>370</v>
      </c>
      <c r="D339">
        <v>2</v>
      </c>
      <c r="E339" t="s">
        <v>389</v>
      </c>
      <c r="F339">
        <v>2024</v>
      </c>
      <c r="G339">
        <v>450.95</v>
      </c>
      <c r="H339">
        <v>0.52459999999999996</v>
      </c>
      <c r="I339">
        <v>23656.837</v>
      </c>
      <c r="J339" t="s">
        <v>372</v>
      </c>
    </row>
    <row r="340" spans="1:10" x14ac:dyDescent="0.35">
      <c r="A340" t="s">
        <v>724</v>
      </c>
      <c r="B340" t="s">
        <v>260</v>
      </c>
      <c r="C340" t="s">
        <v>384</v>
      </c>
      <c r="D340">
        <v>11</v>
      </c>
      <c r="E340" t="s">
        <v>371</v>
      </c>
      <c r="F340">
        <v>2024</v>
      </c>
      <c r="G340">
        <v>77.290000000000006</v>
      </c>
      <c r="H340">
        <v>0.72729999999999995</v>
      </c>
      <c r="I340">
        <v>5621.3017</v>
      </c>
      <c r="J340" t="s">
        <v>372</v>
      </c>
    </row>
    <row r="341" spans="1:10" x14ac:dyDescent="0.35">
      <c r="A341" t="s">
        <v>725</v>
      </c>
      <c r="B341" t="s">
        <v>227</v>
      </c>
      <c r="C341" t="s">
        <v>374</v>
      </c>
      <c r="D341">
        <v>8</v>
      </c>
      <c r="E341" t="s">
        <v>377</v>
      </c>
      <c r="F341">
        <v>2024</v>
      </c>
      <c r="G341">
        <v>252.11</v>
      </c>
      <c r="H341">
        <v>0.65490000000000004</v>
      </c>
      <c r="I341">
        <v>16510.6839</v>
      </c>
      <c r="J341" t="s">
        <v>372</v>
      </c>
    </row>
    <row r="342" spans="1:10" x14ac:dyDescent="0.35">
      <c r="A342" t="s">
        <v>726</v>
      </c>
      <c r="B342" t="s">
        <v>5</v>
      </c>
      <c r="C342" t="s">
        <v>370</v>
      </c>
      <c r="D342">
        <v>4</v>
      </c>
      <c r="E342" t="s">
        <v>394</v>
      </c>
      <c r="F342">
        <v>2022</v>
      </c>
      <c r="G342">
        <v>51.18</v>
      </c>
      <c r="H342">
        <v>0.53959999999999997</v>
      </c>
      <c r="I342">
        <v>2761.6727999999998</v>
      </c>
      <c r="J342" t="s">
        <v>372</v>
      </c>
    </row>
    <row r="343" spans="1:10" x14ac:dyDescent="0.35">
      <c r="A343" t="s">
        <v>727</v>
      </c>
      <c r="B343" t="s">
        <v>9</v>
      </c>
      <c r="C343" t="s">
        <v>370</v>
      </c>
      <c r="D343">
        <v>3</v>
      </c>
      <c r="E343" t="s">
        <v>391</v>
      </c>
      <c r="F343">
        <v>2023</v>
      </c>
      <c r="G343">
        <v>156.47</v>
      </c>
      <c r="H343">
        <v>0.62609999999999999</v>
      </c>
      <c r="I343">
        <v>9796.5866999999998</v>
      </c>
      <c r="J343" t="s">
        <v>372</v>
      </c>
    </row>
    <row r="344" spans="1:10" x14ac:dyDescent="0.35">
      <c r="A344" t="s">
        <v>728</v>
      </c>
      <c r="B344" t="s">
        <v>255</v>
      </c>
      <c r="C344" t="s">
        <v>370</v>
      </c>
      <c r="D344">
        <v>4</v>
      </c>
      <c r="E344" t="s">
        <v>394</v>
      </c>
      <c r="F344">
        <v>2024</v>
      </c>
      <c r="G344">
        <v>135.66</v>
      </c>
      <c r="H344">
        <v>0.55089999999999995</v>
      </c>
      <c r="I344">
        <v>7473.509399999999</v>
      </c>
      <c r="J344" t="s">
        <v>372</v>
      </c>
    </row>
    <row r="345" spans="1:10" x14ac:dyDescent="0.35">
      <c r="A345" t="s">
        <v>729</v>
      </c>
      <c r="B345" t="s">
        <v>320</v>
      </c>
      <c r="C345" t="s">
        <v>374</v>
      </c>
      <c r="D345">
        <v>6</v>
      </c>
      <c r="E345" t="s">
        <v>379</v>
      </c>
      <c r="F345">
        <v>2023</v>
      </c>
      <c r="G345">
        <v>231.44</v>
      </c>
      <c r="H345">
        <v>0.44750000000000001</v>
      </c>
      <c r="I345">
        <v>10356.94</v>
      </c>
      <c r="J345" t="s">
        <v>372</v>
      </c>
    </row>
    <row r="346" spans="1:10" x14ac:dyDescent="0.35">
      <c r="A346" t="s">
        <v>730</v>
      </c>
      <c r="B346" t="s">
        <v>212</v>
      </c>
      <c r="C346" t="s">
        <v>384</v>
      </c>
      <c r="D346">
        <v>9</v>
      </c>
      <c r="E346" t="s">
        <v>403</v>
      </c>
      <c r="F346">
        <v>2024</v>
      </c>
      <c r="G346">
        <v>173.19</v>
      </c>
      <c r="H346">
        <v>0.45529999999999998</v>
      </c>
      <c r="I346">
        <v>7885.3406999999988</v>
      </c>
      <c r="J346" t="s">
        <v>372</v>
      </c>
    </row>
    <row r="347" spans="1:10" x14ac:dyDescent="0.35">
      <c r="A347" t="s">
        <v>731</v>
      </c>
      <c r="B347" t="s">
        <v>223</v>
      </c>
      <c r="C347" t="s">
        <v>374</v>
      </c>
      <c r="D347">
        <v>9</v>
      </c>
      <c r="E347" t="s">
        <v>403</v>
      </c>
      <c r="F347">
        <v>2023</v>
      </c>
      <c r="G347">
        <v>264.45999999999998</v>
      </c>
      <c r="H347">
        <v>0.57989999999999997</v>
      </c>
      <c r="I347">
        <v>15336.035399999997</v>
      </c>
      <c r="J347" t="s">
        <v>372</v>
      </c>
    </row>
    <row r="348" spans="1:10" x14ac:dyDescent="0.35">
      <c r="A348" t="s">
        <v>732</v>
      </c>
      <c r="B348" t="s">
        <v>327</v>
      </c>
      <c r="C348" t="s">
        <v>374</v>
      </c>
      <c r="D348">
        <v>9</v>
      </c>
      <c r="E348" t="s">
        <v>403</v>
      </c>
      <c r="F348">
        <v>2024</v>
      </c>
      <c r="G348">
        <v>190.5</v>
      </c>
      <c r="H348">
        <v>0.60540000000000005</v>
      </c>
      <c r="I348">
        <v>11532.87</v>
      </c>
      <c r="J348" t="s">
        <v>372</v>
      </c>
    </row>
    <row r="349" spans="1:10" x14ac:dyDescent="0.35">
      <c r="A349" t="s">
        <v>733</v>
      </c>
      <c r="B349" t="s">
        <v>247</v>
      </c>
      <c r="C349" t="s">
        <v>384</v>
      </c>
      <c r="D349">
        <v>1</v>
      </c>
      <c r="E349" t="s">
        <v>381</v>
      </c>
      <c r="F349">
        <v>2022</v>
      </c>
      <c r="G349">
        <v>448.04</v>
      </c>
      <c r="H349">
        <v>0.2626</v>
      </c>
      <c r="I349">
        <v>11765.5304</v>
      </c>
      <c r="J349" t="s">
        <v>372</v>
      </c>
    </row>
    <row r="350" spans="1:10" x14ac:dyDescent="0.35">
      <c r="A350" t="s">
        <v>734</v>
      </c>
      <c r="B350" t="s">
        <v>260</v>
      </c>
      <c r="C350" t="s">
        <v>374</v>
      </c>
      <c r="D350">
        <v>8</v>
      </c>
      <c r="E350" t="s">
        <v>377</v>
      </c>
      <c r="F350">
        <v>2023</v>
      </c>
      <c r="G350">
        <v>321.87</v>
      </c>
      <c r="H350">
        <v>0.67130000000000001</v>
      </c>
      <c r="I350">
        <v>21607.133100000003</v>
      </c>
      <c r="J350" t="s">
        <v>372</v>
      </c>
    </row>
    <row r="351" spans="1:10" x14ac:dyDescent="0.35">
      <c r="A351" t="s">
        <v>735</v>
      </c>
      <c r="B351" t="s">
        <v>327</v>
      </c>
      <c r="C351" t="s">
        <v>370</v>
      </c>
      <c r="D351">
        <v>3</v>
      </c>
      <c r="E351" t="s">
        <v>391</v>
      </c>
      <c r="F351">
        <v>2022</v>
      </c>
      <c r="G351">
        <v>314.02999999999997</v>
      </c>
      <c r="H351">
        <v>0.25230000000000002</v>
      </c>
      <c r="I351">
        <v>7922.9769000000006</v>
      </c>
      <c r="J351" t="s">
        <v>372</v>
      </c>
    </row>
    <row r="352" spans="1:10" x14ac:dyDescent="0.35">
      <c r="A352" t="s">
        <v>736</v>
      </c>
      <c r="B352" t="s">
        <v>310</v>
      </c>
      <c r="C352" t="s">
        <v>384</v>
      </c>
      <c r="D352">
        <v>7</v>
      </c>
      <c r="E352" t="s">
        <v>375</v>
      </c>
      <c r="F352">
        <v>2022</v>
      </c>
      <c r="G352">
        <v>337.79</v>
      </c>
      <c r="H352">
        <v>0.26540000000000002</v>
      </c>
      <c r="I352">
        <v>8964.9466000000011</v>
      </c>
      <c r="J352" t="s">
        <v>372</v>
      </c>
    </row>
    <row r="353" spans="1:10" x14ac:dyDescent="0.35">
      <c r="A353" t="s">
        <v>737</v>
      </c>
      <c r="B353" t="s">
        <v>343</v>
      </c>
      <c r="C353" t="s">
        <v>370</v>
      </c>
      <c r="D353">
        <v>3</v>
      </c>
      <c r="E353" t="s">
        <v>391</v>
      </c>
      <c r="F353">
        <v>2022</v>
      </c>
      <c r="G353">
        <v>6.7</v>
      </c>
      <c r="H353">
        <v>0.63190000000000002</v>
      </c>
      <c r="I353">
        <v>423.37300000000005</v>
      </c>
      <c r="J353" t="s">
        <v>372</v>
      </c>
    </row>
    <row r="354" spans="1:10" x14ac:dyDescent="0.35">
      <c r="A354" t="s">
        <v>738</v>
      </c>
      <c r="B354" t="s">
        <v>316</v>
      </c>
      <c r="C354" t="s">
        <v>384</v>
      </c>
      <c r="D354">
        <v>8</v>
      </c>
      <c r="E354" t="s">
        <v>377</v>
      </c>
      <c r="F354">
        <v>2023</v>
      </c>
      <c r="G354">
        <v>55.64</v>
      </c>
      <c r="H354">
        <v>0.82909999999999995</v>
      </c>
      <c r="I354">
        <v>4613.1124</v>
      </c>
      <c r="J354" t="s">
        <v>372</v>
      </c>
    </row>
    <row r="355" spans="1:10" x14ac:dyDescent="0.35">
      <c r="A355" t="s">
        <v>739</v>
      </c>
      <c r="B355" t="s">
        <v>80</v>
      </c>
      <c r="C355" t="s">
        <v>370</v>
      </c>
      <c r="D355">
        <v>12</v>
      </c>
      <c r="E355" t="s">
        <v>487</v>
      </c>
      <c r="F355">
        <v>2023</v>
      </c>
      <c r="G355">
        <v>192.08</v>
      </c>
      <c r="H355">
        <v>0.72209999999999996</v>
      </c>
      <c r="I355">
        <v>13870.096799999999</v>
      </c>
      <c r="J355" t="s">
        <v>372</v>
      </c>
    </row>
    <row r="356" spans="1:10" x14ac:dyDescent="0.35">
      <c r="A356" t="s">
        <v>740</v>
      </c>
      <c r="B356" t="s">
        <v>82</v>
      </c>
      <c r="C356" t="s">
        <v>384</v>
      </c>
      <c r="D356">
        <v>12</v>
      </c>
      <c r="E356" t="s">
        <v>487</v>
      </c>
      <c r="F356">
        <v>2022</v>
      </c>
      <c r="G356">
        <v>481.87</v>
      </c>
      <c r="H356">
        <v>0.31290000000000001</v>
      </c>
      <c r="I356">
        <v>15077.712300000001</v>
      </c>
      <c r="J356" t="s">
        <v>372</v>
      </c>
    </row>
    <row r="357" spans="1:10" x14ac:dyDescent="0.35">
      <c r="A357" t="s">
        <v>741</v>
      </c>
      <c r="B357" t="s">
        <v>117</v>
      </c>
      <c r="C357" t="s">
        <v>384</v>
      </c>
      <c r="D357">
        <v>9</v>
      </c>
      <c r="E357" t="s">
        <v>403</v>
      </c>
      <c r="F357">
        <v>2024</v>
      </c>
      <c r="G357">
        <v>425.69</v>
      </c>
      <c r="H357">
        <v>0.1431</v>
      </c>
      <c r="I357">
        <v>6091.6239000000005</v>
      </c>
      <c r="J357" t="s">
        <v>372</v>
      </c>
    </row>
    <row r="358" spans="1:10" x14ac:dyDescent="0.35">
      <c r="A358" t="s">
        <v>742</v>
      </c>
      <c r="B358" t="s">
        <v>143</v>
      </c>
      <c r="C358" t="s">
        <v>384</v>
      </c>
      <c r="D358">
        <v>3</v>
      </c>
      <c r="E358" t="s">
        <v>391</v>
      </c>
      <c r="F358">
        <v>2024</v>
      </c>
      <c r="G358">
        <v>68</v>
      </c>
      <c r="H358">
        <v>0.53269999999999995</v>
      </c>
      <c r="I358">
        <v>3622.3599999999997</v>
      </c>
      <c r="J358" t="s">
        <v>372</v>
      </c>
    </row>
    <row r="359" spans="1:10" x14ac:dyDescent="0.35">
      <c r="A359" t="s">
        <v>743</v>
      </c>
      <c r="B359" t="s">
        <v>145</v>
      </c>
      <c r="C359" t="s">
        <v>384</v>
      </c>
      <c r="D359">
        <v>4</v>
      </c>
      <c r="E359" t="s">
        <v>394</v>
      </c>
      <c r="F359">
        <v>2024</v>
      </c>
      <c r="G359">
        <v>128.47</v>
      </c>
      <c r="H359">
        <v>0.73160000000000003</v>
      </c>
      <c r="I359">
        <v>9398.8652000000002</v>
      </c>
      <c r="J359" t="s">
        <v>372</v>
      </c>
    </row>
    <row r="360" spans="1:10" x14ac:dyDescent="0.35">
      <c r="A360" t="s">
        <v>744</v>
      </c>
      <c r="B360" t="s">
        <v>338</v>
      </c>
      <c r="C360" t="s">
        <v>374</v>
      </c>
      <c r="D360">
        <v>3</v>
      </c>
      <c r="E360" t="s">
        <v>391</v>
      </c>
      <c r="F360">
        <v>2024</v>
      </c>
      <c r="G360">
        <v>150.44999999999999</v>
      </c>
      <c r="H360">
        <v>0.40679999999999999</v>
      </c>
      <c r="I360">
        <v>6120.3059999999996</v>
      </c>
      <c r="J360" t="s">
        <v>372</v>
      </c>
    </row>
    <row r="361" spans="1:10" x14ac:dyDescent="0.35">
      <c r="A361" t="s">
        <v>745</v>
      </c>
      <c r="B361" t="s">
        <v>121</v>
      </c>
      <c r="C361" t="s">
        <v>370</v>
      </c>
      <c r="D361">
        <v>2</v>
      </c>
      <c r="E361" t="s">
        <v>389</v>
      </c>
      <c r="F361">
        <v>2023</v>
      </c>
      <c r="G361">
        <v>474.42</v>
      </c>
      <c r="H361">
        <v>0.79590000000000005</v>
      </c>
      <c r="I361">
        <v>37759.087800000001</v>
      </c>
      <c r="J361" t="s">
        <v>372</v>
      </c>
    </row>
    <row r="362" spans="1:10" x14ac:dyDescent="0.35">
      <c r="A362" t="s">
        <v>746</v>
      </c>
      <c r="B362" t="s">
        <v>216</v>
      </c>
      <c r="C362" t="s">
        <v>384</v>
      </c>
      <c r="D362">
        <v>10</v>
      </c>
      <c r="E362" t="s">
        <v>387</v>
      </c>
      <c r="F362">
        <v>2024</v>
      </c>
      <c r="G362">
        <v>62.42</v>
      </c>
      <c r="H362">
        <v>0.5171</v>
      </c>
      <c r="I362">
        <v>3227.7382000000002</v>
      </c>
      <c r="J362" t="s">
        <v>372</v>
      </c>
    </row>
    <row r="363" spans="1:10" x14ac:dyDescent="0.35">
      <c r="A363" t="s">
        <v>747</v>
      </c>
      <c r="B363" t="s">
        <v>338</v>
      </c>
      <c r="C363" t="s">
        <v>374</v>
      </c>
      <c r="D363">
        <v>11</v>
      </c>
      <c r="E363" t="s">
        <v>371</v>
      </c>
      <c r="F363">
        <v>2022</v>
      </c>
      <c r="G363">
        <v>228.29</v>
      </c>
      <c r="H363">
        <v>0.14169999999999999</v>
      </c>
      <c r="I363">
        <v>3234.8692999999998</v>
      </c>
      <c r="J363" t="s">
        <v>372</v>
      </c>
    </row>
    <row r="364" spans="1:10" x14ac:dyDescent="0.35">
      <c r="A364" t="s">
        <v>748</v>
      </c>
      <c r="B364" t="s">
        <v>262</v>
      </c>
      <c r="C364" t="s">
        <v>374</v>
      </c>
      <c r="D364">
        <v>5</v>
      </c>
      <c r="E364" t="s">
        <v>417</v>
      </c>
      <c r="F364">
        <v>2024</v>
      </c>
      <c r="G364">
        <v>458.29</v>
      </c>
      <c r="H364">
        <v>0.24940000000000001</v>
      </c>
      <c r="I364">
        <v>11429.7526</v>
      </c>
      <c r="J364" t="s">
        <v>372</v>
      </c>
    </row>
    <row r="365" spans="1:10" x14ac:dyDescent="0.35">
      <c r="A365" t="s">
        <v>749</v>
      </c>
      <c r="B365" t="s">
        <v>229</v>
      </c>
      <c r="C365" t="s">
        <v>384</v>
      </c>
      <c r="D365">
        <v>8</v>
      </c>
      <c r="E365" t="s">
        <v>377</v>
      </c>
      <c r="F365">
        <v>2022</v>
      </c>
      <c r="G365">
        <v>220.41</v>
      </c>
      <c r="H365">
        <v>0.42180000000000001</v>
      </c>
      <c r="I365">
        <v>9296.8937999999998</v>
      </c>
      <c r="J365" t="s">
        <v>372</v>
      </c>
    </row>
    <row r="366" spans="1:10" x14ac:dyDescent="0.35">
      <c r="A366" t="s">
        <v>750</v>
      </c>
      <c r="B366" t="s">
        <v>216</v>
      </c>
      <c r="C366" t="s">
        <v>384</v>
      </c>
      <c r="D366">
        <v>4</v>
      </c>
      <c r="E366" t="s">
        <v>394</v>
      </c>
      <c r="F366">
        <v>2022</v>
      </c>
      <c r="G366">
        <v>413.06</v>
      </c>
      <c r="H366">
        <v>0.52239999999999998</v>
      </c>
      <c r="I366">
        <v>21578.254400000002</v>
      </c>
      <c r="J366" t="s">
        <v>372</v>
      </c>
    </row>
    <row r="367" spans="1:10" x14ac:dyDescent="0.35">
      <c r="A367" t="s">
        <v>751</v>
      </c>
      <c r="B367" t="s">
        <v>357</v>
      </c>
      <c r="C367" t="s">
        <v>384</v>
      </c>
      <c r="D367">
        <v>10</v>
      </c>
      <c r="E367" t="s">
        <v>387</v>
      </c>
      <c r="F367">
        <v>2023</v>
      </c>
      <c r="G367">
        <v>499.38</v>
      </c>
      <c r="H367">
        <v>0.4541</v>
      </c>
      <c r="I367">
        <v>22676.845800000003</v>
      </c>
      <c r="J367" t="s">
        <v>372</v>
      </c>
    </row>
    <row r="368" spans="1:10" x14ac:dyDescent="0.35">
      <c r="A368" t="s">
        <v>752</v>
      </c>
      <c r="B368" t="s">
        <v>72</v>
      </c>
      <c r="C368" t="s">
        <v>370</v>
      </c>
      <c r="D368">
        <v>12</v>
      </c>
      <c r="E368" t="s">
        <v>487</v>
      </c>
      <c r="F368">
        <v>2024</v>
      </c>
      <c r="G368">
        <v>145.71</v>
      </c>
      <c r="H368">
        <v>0.16320000000000001</v>
      </c>
      <c r="I368">
        <v>2377.9872000000005</v>
      </c>
      <c r="J368" t="s">
        <v>372</v>
      </c>
    </row>
    <row r="369" spans="1:10" x14ac:dyDescent="0.35">
      <c r="A369" t="s">
        <v>753</v>
      </c>
      <c r="B369" t="s">
        <v>166</v>
      </c>
      <c r="C369" t="s">
        <v>370</v>
      </c>
      <c r="D369">
        <v>5</v>
      </c>
      <c r="E369" t="s">
        <v>417</v>
      </c>
      <c r="F369">
        <v>2022</v>
      </c>
      <c r="G369">
        <v>404</v>
      </c>
      <c r="H369">
        <v>0.34720000000000001</v>
      </c>
      <c r="I369">
        <v>14026.88</v>
      </c>
      <c r="J369" t="s">
        <v>372</v>
      </c>
    </row>
    <row r="370" spans="1:10" x14ac:dyDescent="0.35">
      <c r="A370" t="s">
        <v>754</v>
      </c>
      <c r="B370" t="s">
        <v>99</v>
      </c>
      <c r="C370" t="s">
        <v>384</v>
      </c>
      <c r="D370">
        <v>7</v>
      </c>
      <c r="E370" t="s">
        <v>375</v>
      </c>
      <c r="F370">
        <v>2024</v>
      </c>
      <c r="G370">
        <v>190.75</v>
      </c>
      <c r="H370">
        <v>0.7772</v>
      </c>
      <c r="I370">
        <v>14825.09</v>
      </c>
      <c r="J370" t="s">
        <v>372</v>
      </c>
    </row>
    <row r="371" spans="1:10" x14ac:dyDescent="0.35">
      <c r="A371" t="s">
        <v>755</v>
      </c>
      <c r="B371" t="s">
        <v>285</v>
      </c>
      <c r="C371" t="s">
        <v>370</v>
      </c>
      <c r="D371">
        <v>6</v>
      </c>
      <c r="E371" t="s">
        <v>379</v>
      </c>
      <c r="F371">
        <v>2022</v>
      </c>
      <c r="G371">
        <v>91.66</v>
      </c>
      <c r="H371">
        <v>0.43290000000000001</v>
      </c>
      <c r="I371">
        <v>3967.9614000000001</v>
      </c>
      <c r="J371" t="s">
        <v>372</v>
      </c>
    </row>
    <row r="372" spans="1:10" x14ac:dyDescent="0.35">
      <c r="A372" t="s">
        <v>756</v>
      </c>
      <c r="B372" t="s">
        <v>127</v>
      </c>
      <c r="C372" t="s">
        <v>384</v>
      </c>
      <c r="D372">
        <v>11</v>
      </c>
      <c r="E372" t="s">
        <v>371</v>
      </c>
      <c r="F372">
        <v>2024</v>
      </c>
      <c r="G372">
        <v>485.61</v>
      </c>
      <c r="H372">
        <v>0.54920000000000002</v>
      </c>
      <c r="I372">
        <v>26669.701200000003</v>
      </c>
      <c r="J372" t="s">
        <v>372</v>
      </c>
    </row>
    <row r="373" spans="1:10" x14ac:dyDescent="0.35">
      <c r="A373" t="s">
        <v>757</v>
      </c>
      <c r="B373" t="s">
        <v>309</v>
      </c>
      <c r="C373" t="s">
        <v>374</v>
      </c>
      <c r="D373">
        <v>8</v>
      </c>
      <c r="E373" t="s">
        <v>377</v>
      </c>
      <c r="F373">
        <v>2024</v>
      </c>
      <c r="G373">
        <v>399.23</v>
      </c>
      <c r="H373">
        <v>0.60970000000000002</v>
      </c>
      <c r="I373">
        <v>24341.053100000001</v>
      </c>
      <c r="J373" t="s">
        <v>372</v>
      </c>
    </row>
    <row r="374" spans="1:10" x14ac:dyDescent="0.35">
      <c r="A374" t="s">
        <v>758</v>
      </c>
      <c r="B374" t="s">
        <v>350</v>
      </c>
      <c r="C374" t="s">
        <v>370</v>
      </c>
      <c r="D374">
        <v>12</v>
      </c>
      <c r="E374" t="s">
        <v>487</v>
      </c>
      <c r="F374">
        <v>2022</v>
      </c>
      <c r="G374">
        <v>0</v>
      </c>
      <c r="H374">
        <v>0.33119999999999999</v>
      </c>
      <c r="I374">
        <v>0</v>
      </c>
      <c r="J374" t="s">
        <v>423</v>
      </c>
    </row>
    <row r="375" spans="1:10" x14ac:dyDescent="0.35">
      <c r="A375" t="s">
        <v>759</v>
      </c>
      <c r="B375" t="s">
        <v>127</v>
      </c>
      <c r="C375" t="s">
        <v>384</v>
      </c>
      <c r="D375">
        <v>7</v>
      </c>
      <c r="E375" t="s">
        <v>375</v>
      </c>
      <c r="F375">
        <v>2024</v>
      </c>
      <c r="G375">
        <v>234.28</v>
      </c>
      <c r="H375">
        <v>0.82599999999999996</v>
      </c>
      <c r="I375">
        <v>19351.527999999998</v>
      </c>
      <c r="J375" t="s">
        <v>372</v>
      </c>
    </row>
    <row r="376" spans="1:10" x14ac:dyDescent="0.35">
      <c r="A376" t="s">
        <v>760</v>
      </c>
      <c r="B376" t="s">
        <v>49</v>
      </c>
      <c r="C376" t="s">
        <v>370</v>
      </c>
      <c r="D376">
        <v>12</v>
      </c>
      <c r="E376" t="s">
        <v>487</v>
      </c>
      <c r="F376">
        <v>2024</v>
      </c>
      <c r="G376">
        <v>203.38</v>
      </c>
      <c r="H376">
        <v>0.65659999999999996</v>
      </c>
      <c r="I376">
        <v>13353.930799999998</v>
      </c>
      <c r="J376" t="s">
        <v>372</v>
      </c>
    </row>
    <row r="377" spans="1:10" x14ac:dyDescent="0.35">
      <c r="A377" t="s">
        <v>761</v>
      </c>
      <c r="B377" t="s">
        <v>143</v>
      </c>
      <c r="C377" t="s">
        <v>374</v>
      </c>
      <c r="D377">
        <v>6</v>
      </c>
      <c r="E377" t="s">
        <v>379</v>
      </c>
      <c r="F377">
        <v>2024</v>
      </c>
      <c r="G377">
        <v>427.17</v>
      </c>
      <c r="H377">
        <v>0.63390000000000002</v>
      </c>
      <c r="I377">
        <v>27078.306300000004</v>
      </c>
      <c r="J377" t="s">
        <v>372</v>
      </c>
    </row>
    <row r="378" spans="1:10" x14ac:dyDescent="0.35">
      <c r="A378" t="s">
        <v>762</v>
      </c>
      <c r="B378" t="s">
        <v>270</v>
      </c>
      <c r="C378" t="s">
        <v>384</v>
      </c>
      <c r="D378">
        <v>11</v>
      </c>
      <c r="E378" t="s">
        <v>371</v>
      </c>
      <c r="F378">
        <v>2024</v>
      </c>
      <c r="G378">
        <v>451.79</v>
      </c>
      <c r="H378">
        <v>0.54990000000000006</v>
      </c>
      <c r="I378">
        <v>24843.932100000002</v>
      </c>
      <c r="J378" t="s">
        <v>372</v>
      </c>
    </row>
    <row r="379" spans="1:10" x14ac:dyDescent="0.35">
      <c r="A379" t="s">
        <v>763</v>
      </c>
      <c r="B379" t="s">
        <v>47</v>
      </c>
      <c r="C379" t="s">
        <v>370</v>
      </c>
      <c r="D379">
        <v>10</v>
      </c>
      <c r="E379" t="s">
        <v>387</v>
      </c>
      <c r="F379">
        <v>2023</v>
      </c>
      <c r="G379">
        <v>38.11</v>
      </c>
      <c r="H379">
        <v>0.60340000000000005</v>
      </c>
      <c r="I379">
        <v>2299.5574000000001</v>
      </c>
      <c r="J379" t="s">
        <v>372</v>
      </c>
    </row>
    <row r="380" spans="1:10" x14ac:dyDescent="0.35">
      <c r="A380" t="s">
        <v>764</v>
      </c>
      <c r="B380" t="s">
        <v>308</v>
      </c>
      <c r="C380" t="s">
        <v>384</v>
      </c>
      <c r="D380">
        <v>1</v>
      </c>
      <c r="E380" t="s">
        <v>381</v>
      </c>
      <c r="F380">
        <v>2022</v>
      </c>
      <c r="G380">
        <v>288.89999999999998</v>
      </c>
      <c r="H380">
        <v>0.71030000000000004</v>
      </c>
      <c r="I380">
        <v>20520.566999999999</v>
      </c>
      <c r="J380" t="s">
        <v>372</v>
      </c>
    </row>
    <row r="381" spans="1:10" x14ac:dyDescent="0.35">
      <c r="A381" t="s">
        <v>765</v>
      </c>
      <c r="B381" t="s">
        <v>331</v>
      </c>
      <c r="C381" t="s">
        <v>374</v>
      </c>
      <c r="D381">
        <v>1</v>
      </c>
      <c r="E381" t="s">
        <v>381</v>
      </c>
      <c r="F381">
        <v>2022</v>
      </c>
      <c r="G381">
        <v>197.38</v>
      </c>
      <c r="H381">
        <v>0.65680000000000005</v>
      </c>
      <c r="I381">
        <v>12963.9184</v>
      </c>
      <c r="J381" t="s">
        <v>372</v>
      </c>
    </row>
    <row r="382" spans="1:10" x14ac:dyDescent="0.35">
      <c r="A382" t="s">
        <v>766</v>
      </c>
      <c r="B382" t="s">
        <v>292</v>
      </c>
      <c r="C382" t="s">
        <v>374</v>
      </c>
      <c r="D382">
        <v>3</v>
      </c>
      <c r="E382" t="s">
        <v>391</v>
      </c>
      <c r="F382">
        <v>2023</v>
      </c>
      <c r="G382">
        <v>305.45999999999998</v>
      </c>
      <c r="H382">
        <v>0.2316</v>
      </c>
      <c r="I382">
        <v>7074.4535999999998</v>
      </c>
      <c r="J382" t="s">
        <v>372</v>
      </c>
    </row>
    <row r="383" spans="1:10" x14ac:dyDescent="0.35">
      <c r="A383" t="s">
        <v>767</v>
      </c>
      <c r="B383" t="s">
        <v>196</v>
      </c>
      <c r="C383" t="s">
        <v>374</v>
      </c>
      <c r="D383">
        <v>3</v>
      </c>
      <c r="E383" t="s">
        <v>391</v>
      </c>
      <c r="F383">
        <v>2024</v>
      </c>
      <c r="G383">
        <v>163.95</v>
      </c>
      <c r="H383">
        <v>0.82340000000000002</v>
      </c>
      <c r="I383">
        <v>13499.643</v>
      </c>
      <c r="J383" t="s">
        <v>372</v>
      </c>
    </row>
    <row r="384" spans="1:10" x14ac:dyDescent="0.35">
      <c r="A384" t="s">
        <v>768</v>
      </c>
      <c r="B384" t="s">
        <v>259</v>
      </c>
      <c r="C384" t="s">
        <v>384</v>
      </c>
      <c r="D384">
        <v>3</v>
      </c>
      <c r="E384" t="s">
        <v>391</v>
      </c>
      <c r="F384">
        <v>2022</v>
      </c>
      <c r="G384">
        <v>355.92</v>
      </c>
      <c r="H384">
        <v>0.42730000000000001</v>
      </c>
      <c r="I384">
        <v>15208.461600000001</v>
      </c>
      <c r="J384" t="s">
        <v>372</v>
      </c>
    </row>
    <row r="385" spans="1:10" x14ac:dyDescent="0.35">
      <c r="A385" t="s">
        <v>769</v>
      </c>
      <c r="B385" t="s">
        <v>239</v>
      </c>
      <c r="C385" t="s">
        <v>384</v>
      </c>
      <c r="D385">
        <v>11</v>
      </c>
      <c r="E385" t="s">
        <v>371</v>
      </c>
      <c r="F385">
        <v>2024</v>
      </c>
      <c r="G385">
        <v>155.49</v>
      </c>
      <c r="H385">
        <v>0.50160000000000005</v>
      </c>
      <c r="I385">
        <v>7799.3784000000005</v>
      </c>
      <c r="J385" t="s">
        <v>372</v>
      </c>
    </row>
    <row r="386" spans="1:10" x14ac:dyDescent="0.35">
      <c r="A386" t="s">
        <v>770</v>
      </c>
      <c r="B386" t="s">
        <v>263</v>
      </c>
      <c r="C386" t="s">
        <v>384</v>
      </c>
      <c r="D386">
        <v>11</v>
      </c>
      <c r="E386" t="s">
        <v>371</v>
      </c>
      <c r="F386">
        <v>2024</v>
      </c>
      <c r="G386">
        <v>159.22999999999999</v>
      </c>
      <c r="H386">
        <v>0.72070000000000001</v>
      </c>
      <c r="I386">
        <v>11475.706099999999</v>
      </c>
      <c r="J386" t="s">
        <v>372</v>
      </c>
    </row>
    <row r="387" spans="1:10" x14ac:dyDescent="0.35">
      <c r="A387" t="s">
        <v>771</v>
      </c>
      <c r="B387" t="s">
        <v>143</v>
      </c>
      <c r="C387" t="s">
        <v>374</v>
      </c>
      <c r="D387">
        <v>5</v>
      </c>
      <c r="E387" t="s">
        <v>417</v>
      </c>
      <c r="F387">
        <v>2024</v>
      </c>
      <c r="G387">
        <v>228</v>
      </c>
      <c r="H387">
        <v>0.74709999999999999</v>
      </c>
      <c r="I387">
        <v>17033.879999999997</v>
      </c>
      <c r="J387" t="s">
        <v>372</v>
      </c>
    </row>
    <row r="388" spans="1:10" x14ac:dyDescent="0.35">
      <c r="A388" t="s">
        <v>772</v>
      </c>
      <c r="B388" t="s">
        <v>292</v>
      </c>
      <c r="C388" t="s">
        <v>370</v>
      </c>
      <c r="D388">
        <v>4</v>
      </c>
      <c r="E388" t="s">
        <v>394</v>
      </c>
      <c r="F388">
        <v>2022</v>
      </c>
      <c r="G388">
        <v>390.01</v>
      </c>
      <c r="H388">
        <v>0.20749999999999999</v>
      </c>
      <c r="I388">
        <v>8092.7074999999986</v>
      </c>
      <c r="J388" t="s">
        <v>372</v>
      </c>
    </row>
    <row r="389" spans="1:10" x14ac:dyDescent="0.35">
      <c r="A389" t="s">
        <v>773</v>
      </c>
      <c r="B389" t="s">
        <v>82</v>
      </c>
      <c r="C389" t="s">
        <v>384</v>
      </c>
      <c r="D389">
        <v>7</v>
      </c>
      <c r="E389" t="s">
        <v>375</v>
      </c>
      <c r="F389">
        <v>2022</v>
      </c>
      <c r="G389">
        <v>463.76</v>
      </c>
      <c r="H389">
        <v>0.75760000000000005</v>
      </c>
      <c r="I389">
        <v>35134.457600000002</v>
      </c>
      <c r="J389" t="s">
        <v>372</v>
      </c>
    </row>
    <row r="390" spans="1:10" x14ac:dyDescent="0.35">
      <c r="A390" t="s">
        <v>774</v>
      </c>
      <c r="B390" t="s">
        <v>340</v>
      </c>
      <c r="C390" t="s">
        <v>374</v>
      </c>
      <c r="D390">
        <v>11</v>
      </c>
      <c r="E390" t="s">
        <v>371</v>
      </c>
      <c r="F390">
        <v>2022</v>
      </c>
      <c r="G390">
        <v>196.34</v>
      </c>
      <c r="H390">
        <v>0.80230000000000001</v>
      </c>
      <c r="I390">
        <v>15752.358200000001</v>
      </c>
      <c r="J390" t="s">
        <v>372</v>
      </c>
    </row>
    <row r="391" spans="1:10" x14ac:dyDescent="0.35">
      <c r="A391" t="s">
        <v>775</v>
      </c>
      <c r="B391" t="s">
        <v>133</v>
      </c>
      <c r="C391" t="s">
        <v>384</v>
      </c>
      <c r="D391">
        <v>2</v>
      </c>
      <c r="E391" t="s">
        <v>389</v>
      </c>
      <c r="F391">
        <v>2023</v>
      </c>
      <c r="G391">
        <v>316.58</v>
      </c>
      <c r="H391">
        <v>0.25769999999999998</v>
      </c>
      <c r="I391">
        <v>8158.266599999999</v>
      </c>
      <c r="J391" t="s">
        <v>372</v>
      </c>
    </row>
    <row r="392" spans="1:10" x14ac:dyDescent="0.35">
      <c r="A392" t="s">
        <v>776</v>
      </c>
      <c r="B392" t="s">
        <v>198</v>
      </c>
      <c r="C392" t="s">
        <v>384</v>
      </c>
      <c r="D392">
        <v>11</v>
      </c>
      <c r="E392" t="s">
        <v>371</v>
      </c>
      <c r="F392">
        <v>2022</v>
      </c>
      <c r="G392">
        <v>474.81</v>
      </c>
      <c r="H392">
        <v>0.1888</v>
      </c>
      <c r="I392">
        <v>8964.4128000000001</v>
      </c>
      <c r="J392" t="s">
        <v>372</v>
      </c>
    </row>
    <row r="393" spans="1:10" x14ac:dyDescent="0.35">
      <c r="A393" t="s">
        <v>777</v>
      </c>
      <c r="B393" t="s">
        <v>78</v>
      </c>
      <c r="C393" t="s">
        <v>374</v>
      </c>
      <c r="D393">
        <v>9</v>
      </c>
      <c r="E393" t="s">
        <v>403</v>
      </c>
      <c r="F393">
        <v>2022</v>
      </c>
      <c r="G393">
        <v>106.79</v>
      </c>
      <c r="H393">
        <v>0.41799999999999998</v>
      </c>
      <c r="I393">
        <v>4463.8220000000001</v>
      </c>
      <c r="J393" t="s">
        <v>372</v>
      </c>
    </row>
    <row r="394" spans="1:10" x14ac:dyDescent="0.35">
      <c r="A394" t="s">
        <v>778</v>
      </c>
      <c r="B394" t="s">
        <v>281</v>
      </c>
      <c r="C394" t="s">
        <v>384</v>
      </c>
      <c r="D394">
        <v>12</v>
      </c>
      <c r="E394" t="s">
        <v>487</v>
      </c>
      <c r="F394">
        <v>2022</v>
      </c>
      <c r="G394">
        <v>265.35000000000002</v>
      </c>
      <c r="H394">
        <v>0.36120000000000002</v>
      </c>
      <c r="I394">
        <v>9584.4420000000009</v>
      </c>
      <c r="J394" t="s">
        <v>372</v>
      </c>
    </row>
    <row r="395" spans="1:10" x14ac:dyDescent="0.35">
      <c r="A395" t="s">
        <v>779</v>
      </c>
      <c r="B395" t="s">
        <v>129</v>
      </c>
      <c r="C395" t="s">
        <v>384</v>
      </c>
      <c r="D395">
        <v>6</v>
      </c>
      <c r="E395" t="s">
        <v>379</v>
      </c>
      <c r="F395">
        <v>2024</v>
      </c>
      <c r="G395">
        <v>288.64999999999998</v>
      </c>
      <c r="H395">
        <v>0.3105</v>
      </c>
      <c r="I395">
        <v>8962.5824999999986</v>
      </c>
      <c r="J395" t="s">
        <v>372</v>
      </c>
    </row>
    <row r="396" spans="1:10" x14ac:dyDescent="0.35">
      <c r="A396" t="s">
        <v>780</v>
      </c>
      <c r="B396" t="s">
        <v>196</v>
      </c>
      <c r="C396" t="s">
        <v>370</v>
      </c>
      <c r="D396">
        <v>9</v>
      </c>
      <c r="E396" t="s">
        <v>403</v>
      </c>
      <c r="F396">
        <v>2023</v>
      </c>
      <c r="G396">
        <v>213.01</v>
      </c>
      <c r="H396">
        <v>0.28839999999999999</v>
      </c>
      <c r="I396">
        <v>6143.2083999999995</v>
      </c>
      <c r="J396" t="s">
        <v>372</v>
      </c>
    </row>
    <row r="397" spans="1:10" x14ac:dyDescent="0.35">
      <c r="A397" t="s">
        <v>781</v>
      </c>
      <c r="B397" t="s">
        <v>80</v>
      </c>
      <c r="C397" t="s">
        <v>374</v>
      </c>
      <c r="D397">
        <v>7</v>
      </c>
      <c r="E397" t="s">
        <v>375</v>
      </c>
      <c r="F397">
        <v>2022</v>
      </c>
      <c r="G397">
        <v>353.69</v>
      </c>
      <c r="H397">
        <v>0.59709999999999996</v>
      </c>
      <c r="I397">
        <v>21118.829899999997</v>
      </c>
      <c r="J397" t="s">
        <v>372</v>
      </c>
    </row>
    <row r="398" spans="1:10" x14ac:dyDescent="0.35">
      <c r="A398" t="s">
        <v>782</v>
      </c>
      <c r="B398" t="s">
        <v>276</v>
      </c>
      <c r="C398" t="s">
        <v>384</v>
      </c>
      <c r="D398">
        <v>2</v>
      </c>
      <c r="E398" t="s">
        <v>389</v>
      </c>
      <c r="F398">
        <v>2024</v>
      </c>
      <c r="G398">
        <v>74.67</v>
      </c>
      <c r="H398">
        <v>0.74560000000000004</v>
      </c>
      <c r="I398">
        <v>5567.3952000000008</v>
      </c>
      <c r="J398" t="s">
        <v>372</v>
      </c>
    </row>
    <row r="399" spans="1:10" x14ac:dyDescent="0.35">
      <c r="A399" t="s">
        <v>783</v>
      </c>
      <c r="B399" t="s">
        <v>281</v>
      </c>
      <c r="C399" t="s">
        <v>370</v>
      </c>
      <c r="D399">
        <v>5</v>
      </c>
      <c r="E399" t="s">
        <v>417</v>
      </c>
      <c r="F399">
        <v>2024</v>
      </c>
      <c r="G399">
        <v>0</v>
      </c>
      <c r="H399">
        <v>0.81130000000000002</v>
      </c>
      <c r="I399">
        <v>0</v>
      </c>
      <c r="J399" t="s">
        <v>423</v>
      </c>
    </row>
    <row r="400" spans="1:10" x14ac:dyDescent="0.35">
      <c r="A400" t="s">
        <v>784</v>
      </c>
      <c r="B400" t="s">
        <v>250</v>
      </c>
      <c r="C400" t="s">
        <v>370</v>
      </c>
      <c r="D400">
        <v>6</v>
      </c>
      <c r="E400" t="s">
        <v>379</v>
      </c>
      <c r="F400">
        <v>2024</v>
      </c>
      <c r="G400">
        <v>250.39</v>
      </c>
      <c r="H400">
        <v>0.22620000000000001</v>
      </c>
      <c r="I400">
        <v>5663.8218000000006</v>
      </c>
      <c r="J400" t="s">
        <v>372</v>
      </c>
    </row>
    <row r="401" spans="1:10" x14ac:dyDescent="0.35">
      <c r="A401" t="s">
        <v>785</v>
      </c>
      <c r="B401" t="s">
        <v>350</v>
      </c>
      <c r="C401" t="s">
        <v>370</v>
      </c>
      <c r="D401">
        <v>2</v>
      </c>
      <c r="E401" t="s">
        <v>389</v>
      </c>
      <c r="F401">
        <v>2022</v>
      </c>
      <c r="G401">
        <v>24.54</v>
      </c>
      <c r="H401">
        <v>0.27610000000000001</v>
      </c>
      <c r="I401">
        <v>677.54939999999999</v>
      </c>
      <c r="J401" t="s">
        <v>372</v>
      </c>
    </row>
    <row r="402" spans="1:10" x14ac:dyDescent="0.35">
      <c r="A402" t="s">
        <v>786</v>
      </c>
      <c r="B402" t="s">
        <v>148</v>
      </c>
      <c r="C402" t="s">
        <v>384</v>
      </c>
      <c r="D402">
        <v>1</v>
      </c>
      <c r="E402" t="s">
        <v>381</v>
      </c>
      <c r="F402">
        <v>2022</v>
      </c>
      <c r="G402">
        <v>10.28</v>
      </c>
      <c r="H402">
        <v>0.31069999999999998</v>
      </c>
      <c r="I402">
        <v>319.39959999999996</v>
      </c>
      <c r="J402" t="s">
        <v>372</v>
      </c>
    </row>
    <row r="403" spans="1:10" x14ac:dyDescent="0.35">
      <c r="A403" t="s">
        <v>787</v>
      </c>
      <c r="B403" t="s">
        <v>294</v>
      </c>
      <c r="C403" t="s">
        <v>384</v>
      </c>
      <c r="D403">
        <v>5</v>
      </c>
      <c r="E403" t="s">
        <v>417</v>
      </c>
      <c r="F403">
        <v>2023</v>
      </c>
      <c r="G403">
        <v>213.35</v>
      </c>
      <c r="H403">
        <v>0.57210000000000005</v>
      </c>
      <c r="I403">
        <v>12205.753500000001</v>
      </c>
      <c r="J403" t="s">
        <v>372</v>
      </c>
    </row>
    <row r="404" spans="1:10" x14ac:dyDescent="0.35">
      <c r="A404" t="s">
        <v>788</v>
      </c>
      <c r="B404" t="s">
        <v>316</v>
      </c>
      <c r="C404" t="s">
        <v>370</v>
      </c>
      <c r="D404">
        <v>5</v>
      </c>
      <c r="E404" t="s">
        <v>417</v>
      </c>
      <c r="F404">
        <v>2022</v>
      </c>
      <c r="G404">
        <v>190.45</v>
      </c>
      <c r="H404">
        <v>0.82889999999999997</v>
      </c>
      <c r="I404">
        <v>15786.4005</v>
      </c>
      <c r="J404" t="s">
        <v>372</v>
      </c>
    </row>
    <row r="405" spans="1:10" x14ac:dyDescent="0.35">
      <c r="A405" t="s">
        <v>789</v>
      </c>
      <c r="B405" t="s">
        <v>268</v>
      </c>
      <c r="C405" t="s">
        <v>370</v>
      </c>
      <c r="D405">
        <v>2</v>
      </c>
      <c r="E405" t="s">
        <v>389</v>
      </c>
      <c r="F405">
        <v>2022</v>
      </c>
      <c r="G405">
        <v>382.36</v>
      </c>
      <c r="H405">
        <v>0.83599999999999997</v>
      </c>
      <c r="I405">
        <v>31965.296000000002</v>
      </c>
      <c r="J405" t="s">
        <v>372</v>
      </c>
    </row>
    <row r="406" spans="1:10" x14ac:dyDescent="0.35">
      <c r="A406" t="s">
        <v>790</v>
      </c>
      <c r="B406" t="s">
        <v>235</v>
      </c>
      <c r="C406" t="s">
        <v>374</v>
      </c>
      <c r="D406">
        <v>3</v>
      </c>
      <c r="E406" t="s">
        <v>391</v>
      </c>
      <c r="F406">
        <v>2022</v>
      </c>
      <c r="G406">
        <v>359.17</v>
      </c>
      <c r="H406">
        <v>0.45129999999999998</v>
      </c>
      <c r="I406">
        <v>16209.3421</v>
      </c>
      <c r="J406" t="s">
        <v>372</v>
      </c>
    </row>
    <row r="407" spans="1:10" x14ac:dyDescent="0.35">
      <c r="A407" t="s">
        <v>791</v>
      </c>
      <c r="B407" t="s">
        <v>119</v>
      </c>
      <c r="C407" t="s">
        <v>374</v>
      </c>
      <c r="D407">
        <v>8</v>
      </c>
      <c r="E407" t="s">
        <v>377</v>
      </c>
      <c r="F407">
        <v>2024</v>
      </c>
      <c r="G407">
        <v>334.02</v>
      </c>
      <c r="H407">
        <v>0.83230000000000004</v>
      </c>
      <c r="I407">
        <v>27800.4846</v>
      </c>
      <c r="J407" t="s">
        <v>372</v>
      </c>
    </row>
    <row r="408" spans="1:10" x14ac:dyDescent="0.35">
      <c r="A408" t="s">
        <v>792</v>
      </c>
      <c r="B408" t="s">
        <v>277</v>
      </c>
      <c r="C408" t="s">
        <v>374</v>
      </c>
      <c r="D408">
        <v>6</v>
      </c>
      <c r="E408" t="s">
        <v>379</v>
      </c>
      <c r="F408">
        <v>2022</v>
      </c>
      <c r="G408">
        <v>27.42</v>
      </c>
      <c r="H408">
        <v>0.20180000000000001</v>
      </c>
      <c r="I408">
        <v>553.3356</v>
      </c>
      <c r="J408" t="s">
        <v>372</v>
      </c>
    </row>
    <row r="409" spans="1:10" x14ac:dyDescent="0.35">
      <c r="A409" t="s">
        <v>793</v>
      </c>
      <c r="B409" t="s">
        <v>200</v>
      </c>
      <c r="C409" t="s">
        <v>384</v>
      </c>
      <c r="D409">
        <v>5</v>
      </c>
      <c r="E409" t="s">
        <v>417</v>
      </c>
      <c r="F409">
        <v>2024</v>
      </c>
      <c r="G409">
        <v>55.7</v>
      </c>
      <c r="H409">
        <v>0.42809999999999998</v>
      </c>
      <c r="I409">
        <v>2384.5169999999998</v>
      </c>
      <c r="J409" t="s">
        <v>372</v>
      </c>
    </row>
    <row r="410" spans="1:10" x14ac:dyDescent="0.35">
      <c r="A410" t="s">
        <v>794</v>
      </c>
      <c r="B410" t="s">
        <v>353</v>
      </c>
      <c r="C410" t="s">
        <v>384</v>
      </c>
      <c r="D410">
        <v>10</v>
      </c>
      <c r="E410" t="s">
        <v>387</v>
      </c>
      <c r="F410">
        <v>2022</v>
      </c>
      <c r="G410">
        <v>476.97</v>
      </c>
      <c r="H410">
        <v>0.44619999999999999</v>
      </c>
      <c r="I410">
        <v>21282.401399999999</v>
      </c>
      <c r="J410" t="s">
        <v>372</v>
      </c>
    </row>
    <row r="411" spans="1:10" x14ac:dyDescent="0.35">
      <c r="A411" t="s">
        <v>795</v>
      </c>
      <c r="B411" t="s">
        <v>221</v>
      </c>
      <c r="C411" t="s">
        <v>384</v>
      </c>
      <c r="D411">
        <v>12</v>
      </c>
      <c r="E411" t="s">
        <v>487</v>
      </c>
      <c r="F411">
        <v>2023</v>
      </c>
      <c r="G411">
        <v>206.76</v>
      </c>
      <c r="H411">
        <v>0.35310000000000002</v>
      </c>
      <c r="I411">
        <v>7300.6956</v>
      </c>
      <c r="J411" t="s">
        <v>372</v>
      </c>
    </row>
    <row r="412" spans="1:10" x14ac:dyDescent="0.35">
      <c r="A412" t="s">
        <v>796</v>
      </c>
      <c r="B412" t="s">
        <v>117</v>
      </c>
      <c r="C412" t="s">
        <v>384</v>
      </c>
      <c r="D412">
        <v>8</v>
      </c>
      <c r="E412" t="s">
        <v>377</v>
      </c>
      <c r="F412">
        <v>2023</v>
      </c>
      <c r="G412">
        <v>276.37</v>
      </c>
      <c r="H412">
        <v>0.1159</v>
      </c>
      <c r="I412">
        <v>3203.1283000000003</v>
      </c>
      <c r="J412" t="s">
        <v>372</v>
      </c>
    </row>
    <row r="413" spans="1:10" x14ac:dyDescent="0.35">
      <c r="A413" t="s">
        <v>797</v>
      </c>
      <c r="B413" t="s">
        <v>82</v>
      </c>
      <c r="C413" t="s">
        <v>370</v>
      </c>
      <c r="D413">
        <v>1</v>
      </c>
      <c r="E413" t="s">
        <v>381</v>
      </c>
      <c r="F413">
        <v>2024</v>
      </c>
      <c r="G413">
        <v>151.5</v>
      </c>
      <c r="H413">
        <v>0.23549999999999999</v>
      </c>
      <c r="I413">
        <v>3567.8249999999998</v>
      </c>
      <c r="J413" t="s">
        <v>372</v>
      </c>
    </row>
    <row r="414" spans="1:10" x14ac:dyDescent="0.35">
      <c r="A414" t="s">
        <v>798</v>
      </c>
      <c r="B414" t="s">
        <v>90</v>
      </c>
      <c r="C414" t="s">
        <v>374</v>
      </c>
      <c r="D414">
        <v>8</v>
      </c>
      <c r="E414" t="s">
        <v>377</v>
      </c>
      <c r="F414">
        <v>2022</v>
      </c>
      <c r="G414">
        <v>23.85</v>
      </c>
      <c r="H414">
        <v>0.59930000000000005</v>
      </c>
      <c r="I414">
        <v>1429.3305000000003</v>
      </c>
      <c r="J414" t="s">
        <v>372</v>
      </c>
    </row>
    <row r="415" spans="1:10" x14ac:dyDescent="0.35">
      <c r="A415" t="s">
        <v>799</v>
      </c>
      <c r="B415" t="s">
        <v>54</v>
      </c>
      <c r="C415" t="s">
        <v>374</v>
      </c>
      <c r="D415">
        <v>8</v>
      </c>
      <c r="E415" t="s">
        <v>377</v>
      </c>
      <c r="F415">
        <v>2022</v>
      </c>
      <c r="G415">
        <v>65.12</v>
      </c>
      <c r="H415">
        <v>0.63980000000000004</v>
      </c>
      <c r="I415">
        <v>4166.3776000000007</v>
      </c>
      <c r="J415" t="s">
        <v>372</v>
      </c>
    </row>
    <row r="416" spans="1:10" x14ac:dyDescent="0.35">
      <c r="A416" t="s">
        <v>800</v>
      </c>
      <c r="B416" t="s">
        <v>359</v>
      </c>
      <c r="C416" t="s">
        <v>370</v>
      </c>
      <c r="D416">
        <v>2</v>
      </c>
      <c r="E416" t="s">
        <v>389</v>
      </c>
      <c r="F416">
        <v>2022</v>
      </c>
      <c r="G416">
        <v>14.63</v>
      </c>
      <c r="H416">
        <v>0.22850000000000001</v>
      </c>
      <c r="I416">
        <v>334.29550000000006</v>
      </c>
      <c r="J416" t="s">
        <v>372</v>
      </c>
    </row>
    <row r="417" spans="1:10" x14ac:dyDescent="0.35">
      <c r="A417" t="s">
        <v>801</v>
      </c>
      <c r="B417" t="s">
        <v>227</v>
      </c>
      <c r="C417" t="s">
        <v>370</v>
      </c>
      <c r="D417">
        <v>10</v>
      </c>
      <c r="E417" t="s">
        <v>387</v>
      </c>
      <c r="F417">
        <v>2024</v>
      </c>
      <c r="G417">
        <v>427.21</v>
      </c>
      <c r="H417">
        <v>0.30840000000000001</v>
      </c>
      <c r="I417">
        <v>13175.1564</v>
      </c>
      <c r="J417" t="s">
        <v>372</v>
      </c>
    </row>
    <row r="418" spans="1:10" x14ac:dyDescent="0.35">
      <c r="A418" t="s">
        <v>802</v>
      </c>
      <c r="B418" t="s">
        <v>194</v>
      </c>
      <c r="C418" t="s">
        <v>384</v>
      </c>
      <c r="D418">
        <v>1</v>
      </c>
      <c r="E418" t="s">
        <v>381</v>
      </c>
      <c r="F418">
        <v>2023</v>
      </c>
      <c r="G418">
        <v>461.42</v>
      </c>
      <c r="H418">
        <v>0.77300000000000002</v>
      </c>
      <c r="I418">
        <v>35667.766000000003</v>
      </c>
      <c r="J418" t="s">
        <v>372</v>
      </c>
    </row>
    <row r="419" spans="1:10" x14ac:dyDescent="0.35">
      <c r="A419" t="s">
        <v>803</v>
      </c>
      <c r="B419" t="s">
        <v>117</v>
      </c>
      <c r="C419" t="s">
        <v>374</v>
      </c>
      <c r="D419">
        <v>8</v>
      </c>
      <c r="E419" t="s">
        <v>377</v>
      </c>
      <c r="F419">
        <v>2023</v>
      </c>
      <c r="G419">
        <v>199.89</v>
      </c>
      <c r="H419">
        <v>0.37830000000000003</v>
      </c>
      <c r="I419">
        <v>7561.8387000000002</v>
      </c>
      <c r="J419" t="s">
        <v>372</v>
      </c>
    </row>
    <row r="420" spans="1:10" x14ac:dyDescent="0.35">
      <c r="A420" t="s">
        <v>804</v>
      </c>
      <c r="B420" t="s">
        <v>289</v>
      </c>
      <c r="C420" t="s">
        <v>384</v>
      </c>
      <c r="D420">
        <v>11</v>
      </c>
      <c r="E420" t="s">
        <v>371</v>
      </c>
      <c r="F420">
        <v>2023</v>
      </c>
      <c r="G420">
        <v>463.76</v>
      </c>
      <c r="H420">
        <v>0.3947</v>
      </c>
      <c r="I420">
        <v>18304.607199999999</v>
      </c>
      <c r="J420" t="s">
        <v>372</v>
      </c>
    </row>
    <row r="421" spans="1:10" x14ac:dyDescent="0.35">
      <c r="A421" t="s">
        <v>805</v>
      </c>
      <c r="B421" t="s">
        <v>202</v>
      </c>
      <c r="C421" t="s">
        <v>370</v>
      </c>
      <c r="D421">
        <v>6</v>
      </c>
      <c r="E421" t="s">
        <v>379</v>
      </c>
      <c r="F421">
        <v>2024</v>
      </c>
      <c r="G421">
        <v>416.5</v>
      </c>
      <c r="H421">
        <v>0.79500000000000004</v>
      </c>
      <c r="I421">
        <v>33111.75</v>
      </c>
      <c r="J421" t="s">
        <v>372</v>
      </c>
    </row>
    <row r="422" spans="1:10" x14ac:dyDescent="0.35">
      <c r="A422" t="s">
        <v>806</v>
      </c>
      <c r="B422" t="s">
        <v>196</v>
      </c>
      <c r="C422" t="s">
        <v>374</v>
      </c>
      <c r="D422">
        <v>4</v>
      </c>
      <c r="E422" t="s">
        <v>394</v>
      </c>
      <c r="F422">
        <v>2023</v>
      </c>
      <c r="G422">
        <v>430.08</v>
      </c>
      <c r="H422">
        <v>0.70750000000000002</v>
      </c>
      <c r="I422">
        <v>30428.159999999996</v>
      </c>
      <c r="J422" t="s">
        <v>372</v>
      </c>
    </row>
    <row r="423" spans="1:10" x14ac:dyDescent="0.35">
      <c r="A423" t="s">
        <v>807</v>
      </c>
      <c r="B423" t="s">
        <v>292</v>
      </c>
      <c r="C423" t="s">
        <v>384</v>
      </c>
      <c r="D423">
        <v>9</v>
      </c>
      <c r="E423" t="s">
        <v>403</v>
      </c>
      <c r="F423">
        <v>2024</v>
      </c>
      <c r="G423">
        <v>369.2</v>
      </c>
      <c r="H423">
        <v>0.42399999999999999</v>
      </c>
      <c r="I423">
        <v>15654.079999999998</v>
      </c>
      <c r="J423" t="s">
        <v>372</v>
      </c>
    </row>
    <row r="424" spans="1:10" x14ac:dyDescent="0.35">
      <c r="A424" t="s">
        <v>808</v>
      </c>
      <c r="B424" t="s">
        <v>45</v>
      </c>
      <c r="C424" t="s">
        <v>374</v>
      </c>
      <c r="D424">
        <v>6</v>
      </c>
      <c r="E424" t="s">
        <v>379</v>
      </c>
      <c r="F424">
        <v>2024</v>
      </c>
      <c r="G424">
        <v>207.85</v>
      </c>
      <c r="H424">
        <v>0.13370000000000001</v>
      </c>
      <c r="I424">
        <v>2778.9544999999998</v>
      </c>
      <c r="J424" t="s">
        <v>372</v>
      </c>
    </row>
    <row r="425" spans="1:10" x14ac:dyDescent="0.35">
      <c r="A425" t="s">
        <v>809</v>
      </c>
      <c r="B425" t="s">
        <v>161</v>
      </c>
      <c r="C425" t="s">
        <v>374</v>
      </c>
      <c r="D425">
        <v>9</v>
      </c>
      <c r="E425" t="s">
        <v>403</v>
      </c>
      <c r="F425">
        <v>2022</v>
      </c>
      <c r="G425">
        <v>434.19</v>
      </c>
      <c r="H425">
        <v>0.19739999999999999</v>
      </c>
      <c r="I425">
        <v>8570.9105999999992</v>
      </c>
      <c r="J425" t="s">
        <v>372</v>
      </c>
    </row>
    <row r="426" spans="1:10" x14ac:dyDescent="0.35">
      <c r="A426" t="s">
        <v>810</v>
      </c>
      <c r="B426" t="s">
        <v>173</v>
      </c>
      <c r="C426" t="s">
        <v>370</v>
      </c>
      <c r="D426">
        <v>11</v>
      </c>
      <c r="E426" t="s">
        <v>371</v>
      </c>
      <c r="F426">
        <v>2022</v>
      </c>
      <c r="G426">
        <v>371.17</v>
      </c>
      <c r="H426">
        <v>0.54690000000000005</v>
      </c>
      <c r="I426">
        <v>20299.287300000004</v>
      </c>
      <c r="J426" t="s">
        <v>372</v>
      </c>
    </row>
    <row r="427" spans="1:10" x14ac:dyDescent="0.35">
      <c r="A427" t="s">
        <v>811</v>
      </c>
      <c r="B427" t="s">
        <v>279</v>
      </c>
      <c r="C427" t="s">
        <v>374</v>
      </c>
      <c r="D427">
        <v>12</v>
      </c>
      <c r="E427" t="s">
        <v>487</v>
      </c>
      <c r="F427">
        <v>2023</v>
      </c>
      <c r="G427">
        <v>479.74</v>
      </c>
      <c r="H427">
        <v>0.22650000000000001</v>
      </c>
      <c r="I427">
        <v>10866.111000000001</v>
      </c>
      <c r="J427" t="s">
        <v>372</v>
      </c>
    </row>
    <row r="428" spans="1:10" x14ac:dyDescent="0.35">
      <c r="A428" t="s">
        <v>812</v>
      </c>
      <c r="B428" t="s">
        <v>141</v>
      </c>
      <c r="C428" t="s">
        <v>384</v>
      </c>
      <c r="D428">
        <v>8</v>
      </c>
      <c r="E428" t="s">
        <v>377</v>
      </c>
      <c r="F428">
        <v>2022</v>
      </c>
      <c r="G428">
        <v>397.03</v>
      </c>
      <c r="H428">
        <v>0.37780000000000002</v>
      </c>
      <c r="I428">
        <v>14999.793399999999</v>
      </c>
      <c r="J428" t="s">
        <v>372</v>
      </c>
    </row>
    <row r="429" spans="1:10" x14ac:dyDescent="0.35">
      <c r="A429" t="s">
        <v>813</v>
      </c>
      <c r="B429" t="s">
        <v>328</v>
      </c>
      <c r="C429" t="s">
        <v>370</v>
      </c>
      <c r="D429">
        <v>3</v>
      </c>
      <c r="E429" t="s">
        <v>391</v>
      </c>
      <c r="F429">
        <v>2022</v>
      </c>
      <c r="G429">
        <v>313.39999999999998</v>
      </c>
      <c r="H429">
        <v>0.2843</v>
      </c>
      <c r="I429">
        <v>8909.9619999999995</v>
      </c>
      <c r="J429" t="s">
        <v>372</v>
      </c>
    </row>
    <row r="430" spans="1:10" x14ac:dyDescent="0.35">
      <c r="A430" t="s">
        <v>814</v>
      </c>
      <c r="B430" t="s">
        <v>253</v>
      </c>
      <c r="C430" t="s">
        <v>374</v>
      </c>
      <c r="D430">
        <v>10</v>
      </c>
      <c r="E430" t="s">
        <v>387</v>
      </c>
      <c r="F430">
        <v>2024</v>
      </c>
      <c r="G430">
        <v>65.87</v>
      </c>
      <c r="H430">
        <v>0.66949999999999998</v>
      </c>
      <c r="I430">
        <v>4409.9965000000002</v>
      </c>
      <c r="J430" t="s">
        <v>372</v>
      </c>
    </row>
    <row r="431" spans="1:10" x14ac:dyDescent="0.35">
      <c r="A431" t="s">
        <v>815</v>
      </c>
      <c r="B431" t="s">
        <v>235</v>
      </c>
      <c r="C431" t="s">
        <v>384</v>
      </c>
      <c r="D431">
        <v>8</v>
      </c>
      <c r="E431" t="s">
        <v>377</v>
      </c>
      <c r="F431">
        <v>2022</v>
      </c>
      <c r="G431">
        <v>372.92</v>
      </c>
      <c r="H431">
        <v>0.18959999999999999</v>
      </c>
      <c r="I431">
        <v>7070.5631999999996</v>
      </c>
      <c r="J431" t="s">
        <v>372</v>
      </c>
    </row>
    <row r="432" spans="1:10" x14ac:dyDescent="0.35">
      <c r="A432" t="s">
        <v>816</v>
      </c>
      <c r="B432" t="s">
        <v>273</v>
      </c>
      <c r="C432" t="s">
        <v>384</v>
      </c>
      <c r="D432">
        <v>7</v>
      </c>
      <c r="E432" t="s">
        <v>375</v>
      </c>
      <c r="F432">
        <v>2022</v>
      </c>
      <c r="G432">
        <v>144.15</v>
      </c>
      <c r="H432">
        <v>0.57110000000000005</v>
      </c>
      <c r="I432">
        <v>8232.406500000001</v>
      </c>
      <c r="J432" t="s">
        <v>372</v>
      </c>
    </row>
    <row r="433" spans="1:10" x14ac:dyDescent="0.35">
      <c r="A433" t="s">
        <v>817</v>
      </c>
      <c r="B433" t="s">
        <v>303</v>
      </c>
      <c r="C433" t="s">
        <v>370</v>
      </c>
      <c r="D433">
        <v>12</v>
      </c>
      <c r="E433" t="s">
        <v>487</v>
      </c>
      <c r="F433">
        <v>2023</v>
      </c>
      <c r="G433">
        <v>114.85</v>
      </c>
      <c r="H433">
        <v>0.72099999999999997</v>
      </c>
      <c r="I433">
        <v>8280.6849999999995</v>
      </c>
      <c r="J433" t="s">
        <v>372</v>
      </c>
    </row>
    <row r="434" spans="1:10" x14ac:dyDescent="0.35">
      <c r="A434" t="s">
        <v>818</v>
      </c>
      <c r="B434" t="s">
        <v>225</v>
      </c>
      <c r="C434" t="s">
        <v>384</v>
      </c>
      <c r="D434">
        <v>9</v>
      </c>
      <c r="E434" t="s">
        <v>403</v>
      </c>
      <c r="F434">
        <v>2024</v>
      </c>
      <c r="G434">
        <v>463.91</v>
      </c>
      <c r="H434">
        <v>0.11609999999999999</v>
      </c>
      <c r="I434">
        <v>5385.9951000000001</v>
      </c>
      <c r="J434" t="s">
        <v>372</v>
      </c>
    </row>
    <row r="435" spans="1:10" x14ac:dyDescent="0.35">
      <c r="A435" t="s">
        <v>819</v>
      </c>
      <c r="B435" t="s">
        <v>179</v>
      </c>
      <c r="C435" t="s">
        <v>370</v>
      </c>
      <c r="D435">
        <v>12</v>
      </c>
      <c r="E435" t="s">
        <v>487</v>
      </c>
      <c r="F435">
        <v>2024</v>
      </c>
      <c r="G435">
        <v>116.45</v>
      </c>
      <c r="H435">
        <v>0.77239999999999998</v>
      </c>
      <c r="I435">
        <v>8994.598</v>
      </c>
      <c r="J435" t="s">
        <v>372</v>
      </c>
    </row>
    <row r="436" spans="1:10" x14ac:dyDescent="0.35">
      <c r="A436" t="s">
        <v>820</v>
      </c>
      <c r="B436" t="s">
        <v>325</v>
      </c>
      <c r="C436" t="s">
        <v>370</v>
      </c>
      <c r="D436">
        <v>1</v>
      </c>
      <c r="E436" t="s">
        <v>381</v>
      </c>
      <c r="F436">
        <v>2024</v>
      </c>
      <c r="G436">
        <v>76.53</v>
      </c>
      <c r="H436">
        <v>0.2029</v>
      </c>
      <c r="I436">
        <v>1552.7936999999999</v>
      </c>
      <c r="J436" t="s">
        <v>372</v>
      </c>
    </row>
    <row r="437" spans="1:10" x14ac:dyDescent="0.35">
      <c r="A437" t="s">
        <v>821</v>
      </c>
      <c r="B437" t="s">
        <v>108</v>
      </c>
      <c r="C437" t="s">
        <v>370</v>
      </c>
      <c r="D437">
        <v>11</v>
      </c>
      <c r="E437" t="s">
        <v>371</v>
      </c>
      <c r="F437">
        <v>2024</v>
      </c>
      <c r="G437">
        <v>45.73</v>
      </c>
      <c r="H437">
        <v>0.52849999999999997</v>
      </c>
      <c r="I437">
        <v>2416.8304999999996</v>
      </c>
      <c r="J437" t="s">
        <v>372</v>
      </c>
    </row>
    <row r="438" spans="1:10" x14ac:dyDescent="0.35">
      <c r="A438" t="s">
        <v>822</v>
      </c>
      <c r="B438" t="s">
        <v>108</v>
      </c>
      <c r="C438" t="s">
        <v>384</v>
      </c>
      <c r="D438">
        <v>4</v>
      </c>
      <c r="E438" t="s">
        <v>394</v>
      </c>
      <c r="F438">
        <v>2024</v>
      </c>
      <c r="G438">
        <v>487.05</v>
      </c>
      <c r="H438">
        <v>0.17399999999999999</v>
      </c>
      <c r="I438">
        <v>8474.6699999999983</v>
      </c>
      <c r="J438" t="s">
        <v>372</v>
      </c>
    </row>
    <row r="439" spans="1:10" x14ac:dyDescent="0.35">
      <c r="A439" t="s">
        <v>823</v>
      </c>
      <c r="B439" t="s">
        <v>265</v>
      </c>
      <c r="C439" t="s">
        <v>374</v>
      </c>
      <c r="D439">
        <v>8</v>
      </c>
      <c r="E439" t="s">
        <v>377</v>
      </c>
      <c r="F439">
        <v>2023</v>
      </c>
      <c r="G439">
        <v>425.45</v>
      </c>
      <c r="H439">
        <v>0.59030000000000005</v>
      </c>
      <c r="I439">
        <v>25114.3135</v>
      </c>
      <c r="J439" t="s">
        <v>372</v>
      </c>
    </row>
    <row r="440" spans="1:10" x14ac:dyDescent="0.35">
      <c r="A440" t="s">
        <v>824</v>
      </c>
      <c r="B440" t="s">
        <v>106</v>
      </c>
      <c r="C440" t="s">
        <v>374</v>
      </c>
      <c r="D440">
        <v>8</v>
      </c>
      <c r="E440" t="s">
        <v>377</v>
      </c>
      <c r="F440">
        <v>2022</v>
      </c>
      <c r="G440">
        <v>269.62</v>
      </c>
      <c r="H440">
        <v>0.4098</v>
      </c>
      <c r="I440">
        <v>11049.027599999999</v>
      </c>
      <c r="J440" t="s">
        <v>372</v>
      </c>
    </row>
    <row r="441" spans="1:10" x14ac:dyDescent="0.35">
      <c r="A441" t="s">
        <v>825</v>
      </c>
      <c r="B441" t="s">
        <v>257</v>
      </c>
      <c r="C441" t="s">
        <v>374</v>
      </c>
      <c r="D441">
        <v>8</v>
      </c>
      <c r="E441" t="s">
        <v>377</v>
      </c>
      <c r="F441">
        <v>2023</v>
      </c>
      <c r="G441">
        <v>188.5</v>
      </c>
      <c r="H441">
        <v>0.11020000000000001</v>
      </c>
      <c r="I441">
        <v>2077.27</v>
      </c>
      <c r="J441" t="s">
        <v>372</v>
      </c>
    </row>
    <row r="442" spans="1:10" x14ac:dyDescent="0.35">
      <c r="A442" t="s">
        <v>826</v>
      </c>
      <c r="B442" t="s">
        <v>210</v>
      </c>
      <c r="C442" t="s">
        <v>370</v>
      </c>
      <c r="D442">
        <v>2</v>
      </c>
      <c r="E442" t="s">
        <v>389</v>
      </c>
      <c r="F442">
        <v>2022</v>
      </c>
      <c r="G442">
        <v>36.71</v>
      </c>
      <c r="H442">
        <v>0.10290000000000001</v>
      </c>
      <c r="I442">
        <v>377.74590000000001</v>
      </c>
      <c r="J442" t="s">
        <v>372</v>
      </c>
    </row>
    <row r="443" spans="1:10" x14ac:dyDescent="0.35">
      <c r="A443" t="s">
        <v>827</v>
      </c>
      <c r="B443" t="s">
        <v>93</v>
      </c>
      <c r="C443" t="s">
        <v>374</v>
      </c>
      <c r="D443">
        <v>5</v>
      </c>
      <c r="E443" t="s">
        <v>417</v>
      </c>
      <c r="F443">
        <v>2022</v>
      </c>
      <c r="G443">
        <v>228.63</v>
      </c>
      <c r="H443">
        <v>0.25390000000000001</v>
      </c>
      <c r="I443">
        <v>5804.9157000000005</v>
      </c>
      <c r="J443" t="s">
        <v>372</v>
      </c>
    </row>
    <row r="444" spans="1:10" x14ac:dyDescent="0.35">
      <c r="A444" t="s">
        <v>828</v>
      </c>
      <c r="B444" t="s">
        <v>68</v>
      </c>
      <c r="C444" t="s">
        <v>370</v>
      </c>
      <c r="D444">
        <v>6</v>
      </c>
      <c r="E444" t="s">
        <v>379</v>
      </c>
      <c r="F444">
        <v>2023</v>
      </c>
      <c r="G444">
        <v>142.01</v>
      </c>
      <c r="H444">
        <v>0.81889999999999996</v>
      </c>
      <c r="I444">
        <v>11629.198899999999</v>
      </c>
      <c r="J444" t="s">
        <v>372</v>
      </c>
    </row>
    <row r="445" spans="1:10" x14ac:dyDescent="0.35">
      <c r="A445" t="s">
        <v>829</v>
      </c>
      <c r="B445" t="s">
        <v>64</v>
      </c>
      <c r="C445" t="s">
        <v>384</v>
      </c>
      <c r="D445">
        <v>10</v>
      </c>
      <c r="E445" t="s">
        <v>387</v>
      </c>
      <c r="F445">
        <v>2022</v>
      </c>
      <c r="G445">
        <v>315.76</v>
      </c>
      <c r="H445">
        <v>0.44009999999999999</v>
      </c>
      <c r="I445">
        <v>13896.597599999999</v>
      </c>
      <c r="J445" t="s">
        <v>372</v>
      </c>
    </row>
    <row r="446" spans="1:10" x14ac:dyDescent="0.35">
      <c r="A446" t="s">
        <v>830</v>
      </c>
      <c r="B446" t="s">
        <v>166</v>
      </c>
      <c r="C446" t="s">
        <v>370</v>
      </c>
      <c r="D446">
        <v>1</v>
      </c>
      <c r="E446" t="s">
        <v>381</v>
      </c>
      <c r="F446">
        <v>2024</v>
      </c>
      <c r="G446">
        <v>443.43</v>
      </c>
      <c r="H446">
        <v>0.4698</v>
      </c>
      <c r="I446">
        <v>20832.341400000001</v>
      </c>
      <c r="J446" t="s">
        <v>372</v>
      </c>
    </row>
    <row r="447" spans="1:10" x14ac:dyDescent="0.35">
      <c r="A447" t="s">
        <v>831</v>
      </c>
      <c r="B447" t="s">
        <v>54</v>
      </c>
      <c r="C447" t="s">
        <v>374</v>
      </c>
      <c r="D447">
        <v>11</v>
      </c>
      <c r="E447" t="s">
        <v>371</v>
      </c>
      <c r="F447">
        <v>2024</v>
      </c>
      <c r="G447">
        <v>365.84</v>
      </c>
      <c r="H447">
        <v>0.45190000000000002</v>
      </c>
      <c r="I447">
        <v>16532.309600000001</v>
      </c>
      <c r="J447" t="s">
        <v>372</v>
      </c>
    </row>
    <row r="448" spans="1:10" x14ac:dyDescent="0.35">
      <c r="A448" t="s">
        <v>832</v>
      </c>
      <c r="B448" t="s">
        <v>353</v>
      </c>
      <c r="C448" t="s">
        <v>374</v>
      </c>
      <c r="D448">
        <v>1</v>
      </c>
      <c r="E448" t="s">
        <v>381</v>
      </c>
      <c r="F448">
        <v>2024</v>
      </c>
      <c r="G448">
        <v>52.02</v>
      </c>
      <c r="H448">
        <v>0.43690000000000001</v>
      </c>
      <c r="I448">
        <v>2272.7538000000004</v>
      </c>
      <c r="J448" t="s">
        <v>372</v>
      </c>
    </row>
    <row r="449" spans="1:10" x14ac:dyDescent="0.35">
      <c r="A449" t="s">
        <v>833</v>
      </c>
      <c r="B449" t="s">
        <v>35</v>
      </c>
      <c r="C449" t="s">
        <v>384</v>
      </c>
      <c r="D449">
        <v>5</v>
      </c>
      <c r="E449" t="s">
        <v>417</v>
      </c>
      <c r="F449">
        <v>2022</v>
      </c>
      <c r="G449">
        <v>399.01</v>
      </c>
      <c r="H449">
        <v>0.44280000000000003</v>
      </c>
      <c r="I449">
        <v>17668.162800000002</v>
      </c>
      <c r="J449" t="s">
        <v>372</v>
      </c>
    </row>
    <row r="450" spans="1:10" x14ac:dyDescent="0.35">
      <c r="A450" t="s">
        <v>834</v>
      </c>
      <c r="B450" t="s">
        <v>329</v>
      </c>
      <c r="C450" t="s">
        <v>374</v>
      </c>
      <c r="D450">
        <v>7</v>
      </c>
      <c r="E450" t="s">
        <v>375</v>
      </c>
      <c r="F450">
        <v>2024</v>
      </c>
      <c r="G450">
        <v>134.94999999999999</v>
      </c>
      <c r="H450">
        <v>0.34770000000000001</v>
      </c>
      <c r="I450">
        <v>4692.2114999999994</v>
      </c>
      <c r="J450" t="s">
        <v>372</v>
      </c>
    </row>
    <row r="451" spans="1:10" x14ac:dyDescent="0.35">
      <c r="A451" t="s">
        <v>835</v>
      </c>
      <c r="B451" t="s">
        <v>327</v>
      </c>
      <c r="C451" t="s">
        <v>370</v>
      </c>
      <c r="D451">
        <v>10</v>
      </c>
      <c r="E451" t="s">
        <v>387</v>
      </c>
      <c r="F451">
        <v>2022</v>
      </c>
      <c r="G451">
        <v>360.45</v>
      </c>
      <c r="H451">
        <v>0.45140000000000002</v>
      </c>
      <c r="I451">
        <v>16270.713</v>
      </c>
      <c r="J451" t="s">
        <v>372</v>
      </c>
    </row>
    <row r="452" spans="1:10" x14ac:dyDescent="0.35">
      <c r="A452" t="s">
        <v>836</v>
      </c>
      <c r="B452" t="s">
        <v>307</v>
      </c>
      <c r="C452" t="s">
        <v>384</v>
      </c>
      <c r="D452">
        <v>9</v>
      </c>
      <c r="E452" t="s">
        <v>403</v>
      </c>
      <c r="F452">
        <v>2024</v>
      </c>
      <c r="G452">
        <v>346.44</v>
      </c>
      <c r="H452">
        <v>0.79090000000000005</v>
      </c>
      <c r="I452">
        <v>27399.939599999998</v>
      </c>
      <c r="J452" t="s">
        <v>372</v>
      </c>
    </row>
    <row r="453" spans="1:10" x14ac:dyDescent="0.35">
      <c r="A453" t="s">
        <v>837</v>
      </c>
      <c r="B453" t="s">
        <v>313</v>
      </c>
      <c r="C453" t="s">
        <v>384</v>
      </c>
      <c r="D453">
        <v>4</v>
      </c>
      <c r="E453" t="s">
        <v>394</v>
      </c>
      <c r="F453">
        <v>2024</v>
      </c>
      <c r="G453">
        <v>404.26</v>
      </c>
      <c r="H453">
        <v>0.56840000000000002</v>
      </c>
      <c r="I453">
        <v>22978.1384</v>
      </c>
      <c r="J453" t="s">
        <v>372</v>
      </c>
    </row>
    <row r="454" spans="1:10" x14ac:dyDescent="0.35">
      <c r="A454" t="s">
        <v>838</v>
      </c>
      <c r="B454" t="s">
        <v>273</v>
      </c>
      <c r="C454" t="s">
        <v>370</v>
      </c>
      <c r="D454">
        <v>1</v>
      </c>
      <c r="E454" t="s">
        <v>381</v>
      </c>
      <c r="F454">
        <v>2022</v>
      </c>
      <c r="G454">
        <v>415.36</v>
      </c>
      <c r="H454">
        <v>0.47060000000000002</v>
      </c>
      <c r="I454">
        <v>19546.841600000003</v>
      </c>
      <c r="J454" t="s">
        <v>372</v>
      </c>
    </row>
    <row r="455" spans="1:10" x14ac:dyDescent="0.35">
      <c r="A455" t="s">
        <v>839</v>
      </c>
      <c r="B455" t="s">
        <v>301</v>
      </c>
      <c r="C455" t="s">
        <v>374</v>
      </c>
      <c r="D455">
        <v>1</v>
      </c>
      <c r="E455" t="s">
        <v>381</v>
      </c>
      <c r="F455">
        <v>2024</v>
      </c>
      <c r="G455">
        <v>39.450000000000003</v>
      </c>
      <c r="H455">
        <v>0.2505</v>
      </c>
      <c r="I455">
        <v>988.22249999999997</v>
      </c>
      <c r="J455" t="s">
        <v>372</v>
      </c>
    </row>
    <row r="456" spans="1:10" x14ac:dyDescent="0.35">
      <c r="A456" t="s">
        <v>840</v>
      </c>
      <c r="B456" t="s">
        <v>26</v>
      </c>
      <c r="C456" t="s">
        <v>384</v>
      </c>
      <c r="D456">
        <v>5</v>
      </c>
      <c r="E456" t="s">
        <v>417</v>
      </c>
      <c r="F456">
        <v>2023</v>
      </c>
      <c r="G456">
        <v>96.85</v>
      </c>
      <c r="H456">
        <v>0.19309999999999999</v>
      </c>
      <c r="I456">
        <v>1870.1734999999999</v>
      </c>
      <c r="J456" t="s">
        <v>372</v>
      </c>
    </row>
    <row r="457" spans="1:10" x14ac:dyDescent="0.35">
      <c r="A457" t="s">
        <v>841</v>
      </c>
      <c r="B457" t="s">
        <v>273</v>
      </c>
      <c r="C457" t="s">
        <v>384</v>
      </c>
      <c r="D457">
        <v>5</v>
      </c>
      <c r="E457" t="s">
        <v>417</v>
      </c>
      <c r="F457">
        <v>2023</v>
      </c>
      <c r="G457">
        <v>276.08999999999997</v>
      </c>
      <c r="H457">
        <v>0.59360000000000002</v>
      </c>
      <c r="I457">
        <v>16388.702399999998</v>
      </c>
      <c r="J457" t="s">
        <v>372</v>
      </c>
    </row>
    <row r="458" spans="1:10" x14ac:dyDescent="0.35">
      <c r="A458" t="s">
        <v>842</v>
      </c>
      <c r="B458" t="s">
        <v>196</v>
      </c>
      <c r="C458" t="s">
        <v>384</v>
      </c>
      <c r="D458">
        <v>4</v>
      </c>
      <c r="E458" t="s">
        <v>394</v>
      </c>
      <c r="F458">
        <v>2022</v>
      </c>
      <c r="G458">
        <v>98.17</v>
      </c>
      <c r="H458">
        <v>0.51600000000000001</v>
      </c>
      <c r="I458">
        <v>5065.5720000000001</v>
      </c>
      <c r="J458" t="s">
        <v>372</v>
      </c>
    </row>
    <row r="459" spans="1:10" x14ac:dyDescent="0.35">
      <c r="A459" t="s">
        <v>843</v>
      </c>
      <c r="B459" t="s">
        <v>211</v>
      </c>
      <c r="C459" t="s">
        <v>384</v>
      </c>
      <c r="D459">
        <v>3</v>
      </c>
      <c r="E459" t="s">
        <v>391</v>
      </c>
      <c r="F459">
        <v>2024</v>
      </c>
      <c r="G459">
        <v>265.95</v>
      </c>
      <c r="H459">
        <v>0.1031</v>
      </c>
      <c r="I459">
        <v>2741.9445000000001</v>
      </c>
      <c r="J459" t="s">
        <v>372</v>
      </c>
    </row>
    <row r="460" spans="1:10" x14ac:dyDescent="0.35">
      <c r="A460" t="s">
        <v>844</v>
      </c>
      <c r="B460" t="s">
        <v>125</v>
      </c>
      <c r="C460" t="s">
        <v>370</v>
      </c>
      <c r="D460">
        <v>3</v>
      </c>
      <c r="E460" t="s">
        <v>391</v>
      </c>
      <c r="F460">
        <v>2022</v>
      </c>
      <c r="G460">
        <v>171.16</v>
      </c>
      <c r="H460">
        <v>0.52690000000000003</v>
      </c>
      <c r="I460">
        <v>9018.4204000000009</v>
      </c>
      <c r="J460" t="s">
        <v>372</v>
      </c>
    </row>
    <row r="461" spans="1:10" x14ac:dyDescent="0.35">
      <c r="A461" t="s">
        <v>845</v>
      </c>
      <c r="B461" t="s">
        <v>32</v>
      </c>
      <c r="C461" t="s">
        <v>384</v>
      </c>
      <c r="D461">
        <v>12</v>
      </c>
      <c r="E461" t="s">
        <v>487</v>
      </c>
      <c r="F461">
        <v>2024</v>
      </c>
      <c r="G461">
        <v>444.92</v>
      </c>
      <c r="H461">
        <v>0.43049999999999999</v>
      </c>
      <c r="I461">
        <v>19153.806</v>
      </c>
      <c r="J461" t="s">
        <v>372</v>
      </c>
    </row>
    <row r="462" spans="1:10" x14ac:dyDescent="0.35">
      <c r="A462" t="s">
        <v>846</v>
      </c>
      <c r="B462" t="s">
        <v>168</v>
      </c>
      <c r="C462" t="s">
        <v>374</v>
      </c>
      <c r="D462">
        <v>2</v>
      </c>
      <c r="E462" t="s">
        <v>389</v>
      </c>
      <c r="F462">
        <v>2024</v>
      </c>
      <c r="G462">
        <v>289.77999999999997</v>
      </c>
      <c r="H462">
        <v>0.47520000000000001</v>
      </c>
      <c r="I462">
        <v>13770.345599999999</v>
      </c>
      <c r="J462" t="s">
        <v>372</v>
      </c>
    </row>
    <row r="463" spans="1:10" x14ac:dyDescent="0.35">
      <c r="A463" t="s">
        <v>847</v>
      </c>
      <c r="B463" t="s">
        <v>267</v>
      </c>
      <c r="C463" t="s">
        <v>370</v>
      </c>
      <c r="D463">
        <v>11</v>
      </c>
      <c r="E463" t="s">
        <v>371</v>
      </c>
      <c r="F463">
        <v>2024</v>
      </c>
      <c r="G463">
        <v>18.18</v>
      </c>
      <c r="H463">
        <v>0.15060000000000001</v>
      </c>
      <c r="I463">
        <v>273.79079999999999</v>
      </c>
      <c r="J463" t="s">
        <v>372</v>
      </c>
    </row>
    <row r="464" spans="1:10" x14ac:dyDescent="0.35">
      <c r="A464" t="s">
        <v>848</v>
      </c>
      <c r="B464" t="s">
        <v>168</v>
      </c>
      <c r="C464" t="s">
        <v>384</v>
      </c>
      <c r="D464">
        <v>12</v>
      </c>
      <c r="E464" t="s">
        <v>487</v>
      </c>
      <c r="F464">
        <v>2023</v>
      </c>
      <c r="G464">
        <v>290.27999999999997</v>
      </c>
      <c r="H464">
        <v>0.69710000000000005</v>
      </c>
      <c r="I464">
        <v>20235.418799999999</v>
      </c>
      <c r="J464" t="s">
        <v>372</v>
      </c>
    </row>
    <row r="465" spans="1:10" x14ac:dyDescent="0.35">
      <c r="A465" t="s">
        <v>849</v>
      </c>
      <c r="B465" t="s">
        <v>119</v>
      </c>
      <c r="C465" t="s">
        <v>374</v>
      </c>
      <c r="D465">
        <v>6</v>
      </c>
      <c r="E465" t="s">
        <v>379</v>
      </c>
      <c r="F465">
        <v>2022</v>
      </c>
      <c r="G465">
        <v>348.11</v>
      </c>
      <c r="H465">
        <v>0.2908</v>
      </c>
      <c r="I465">
        <v>10123.0388</v>
      </c>
      <c r="J465" t="s">
        <v>372</v>
      </c>
    </row>
    <row r="466" spans="1:10" x14ac:dyDescent="0.35">
      <c r="A466" t="s">
        <v>850</v>
      </c>
      <c r="B466" t="s">
        <v>300</v>
      </c>
      <c r="C466" t="s">
        <v>384</v>
      </c>
      <c r="D466">
        <v>2</v>
      </c>
      <c r="E466" t="s">
        <v>389</v>
      </c>
      <c r="F466">
        <v>2022</v>
      </c>
      <c r="G466">
        <v>445.92</v>
      </c>
      <c r="H466">
        <v>0.28739999999999999</v>
      </c>
      <c r="I466">
        <v>12815.7408</v>
      </c>
      <c r="J466" t="s">
        <v>372</v>
      </c>
    </row>
    <row r="467" spans="1:10" x14ac:dyDescent="0.35">
      <c r="A467" t="s">
        <v>851</v>
      </c>
      <c r="B467" t="s">
        <v>308</v>
      </c>
      <c r="C467" t="s">
        <v>374</v>
      </c>
      <c r="D467">
        <v>2</v>
      </c>
      <c r="E467" t="s">
        <v>389</v>
      </c>
      <c r="F467">
        <v>2022</v>
      </c>
      <c r="G467">
        <v>493.32</v>
      </c>
      <c r="H467">
        <v>0.80420000000000003</v>
      </c>
      <c r="I467">
        <v>39672.794399999999</v>
      </c>
      <c r="J467" t="s">
        <v>372</v>
      </c>
    </row>
    <row r="468" spans="1:10" x14ac:dyDescent="0.35">
      <c r="A468" t="s">
        <v>852</v>
      </c>
      <c r="B468" t="s">
        <v>285</v>
      </c>
      <c r="C468" t="s">
        <v>374</v>
      </c>
      <c r="D468">
        <v>10</v>
      </c>
      <c r="E468" t="s">
        <v>387</v>
      </c>
      <c r="F468">
        <v>2022</v>
      </c>
      <c r="G468">
        <v>290.87</v>
      </c>
      <c r="H468">
        <v>0.57799999999999996</v>
      </c>
      <c r="I468">
        <v>16812.286</v>
      </c>
      <c r="J468" t="s">
        <v>372</v>
      </c>
    </row>
    <row r="469" spans="1:10" x14ac:dyDescent="0.35">
      <c r="A469" t="s">
        <v>853</v>
      </c>
      <c r="B469" t="s">
        <v>181</v>
      </c>
      <c r="C469" t="s">
        <v>384</v>
      </c>
      <c r="D469">
        <v>12</v>
      </c>
      <c r="E469" t="s">
        <v>487</v>
      </c>
      <c r="F469">
        <v>2023</v>
      </c>
      <c r="G469">
        <v>166.47</v>
      </c>
      <c r="H469">
        <v>0.21099999999999999</v>
      </c>
      <c r="I469">
        <v>3512.5169999999998</v>
      </c>
      <c r="J469" t="s">
        <v>372</v>
      </c>
    </row>
    <row r="470" spans="1:10" x14ac:dyDescent="0.35">
      <c r="A470" t="s">
        <v>854</v>
      </c>
      <c r="B470" t="s">
        <v>5</v>
      </c>
      <c r="C470" t="s">
        <v>384</v>
      </c>
      <c r="D470">
        <v>2</v>
      </c>
      <c r="E470" t="s">
        <v>389</v>
      </c>
      <c r="F470">
        <v>2023</v>
      </c>
      <c r="G470">
        <v>160.21</v>
      </c>
      <c r="H470">
        <v>0.71599999999999997</v>
      </c>
      <c r="I470">
        <v>11471.036</v>
      </c>
      <c r="J470" t="s">
        <v>372</v>
      </c>
    </row>
    <row r="471" spans="1:10" x14ac:dyDescent="0.35">
      <c r="A471" t="s">
        <v>855</v>
      </c>
      <c r="B471" t="s">
        <v>208</v>
      </c>
      <c r="C471" t="s">
        <v>374</v>
      </c>
      <c r="D471">
        <v>7</v>
      </c>
      <c r="E471" t="s">
        <v>375</v>
      </c>
      <c r="F471">
        <v>2023</v>
      </c>
      <c r="G471">
        <v>399.11</v>
      </c>
      <c r="H471">
        <v>0.81530000000000002</v>
      </c>
      <c r="I471">
        <v>32539.438300000002</v>
      </c>
      <c r="J471" t="s">
        <v>372</v>
      </c>
    </row>
    <row r="472" spans="1:10" x14ac:dyDescent="0.35">
      <c r="A472" t="s">
        <v>856</v>
      </c>
      <c r="B472" t="s">
        <v>92</v>
      </c>
      <c r="C472" t="s">
        <v>374</v>
      </c>
      <c r="D472">
        <v>2</v>
      </c>
      <c r="E472" t="s">
        <v>389</v>
      </c>
      <c r="F472">
        <v>2024</v>
      </c>
      <c r="G472">
        <v>316.97000000000003</v>
      </c>
      <c r="H472">
        <v>0.25609999999999999</v>
      </c>
      <c r="I472">
        <v>8117.6017000000002</v>
      </c>
      <c r="J472" t="s">
        <v>372</v>
      </c>
    </row>
    <row r="473" spans="1:10" x14ac:dyDescent="0.35">
      <c r="A473" t="s">
        <v>857</v>
      </c>
      <c r="B473" t="s">
        <v>356</v>
      </c>
      <c r="C473" t="s">
        <v>374</v>
      </c>
      <c r="D473">
        <v>11</v>
      </c>
      <c r="E473" t="s">
        <v>371</v>
      </c>
      <c r="F473">
        <v>2023</v>
      </c>
      <c r="G473">
        <v>459.68</v>
      </c>
      <c r="H473">
        <v>0.57809999999999995</v>
      </c>
      <c r="I473">
        <v>26574.100799999997</v>
      </c>
      <c r="J473" t="s">
        <v>372</v>
      </c>
    </row>
    <row r="474" spans="1:10" x14ac:dyDescent="0.35">
      <c r="A474" t="s">
        <v>858</v>
      </c>
      <c r="B474" t="s">
        <v>5</v>
      </c>
      <c r="C474" t="s">
        <v>374</v>
      </c>
      <c r="D474">
        <v>6</v>
      </c>
      <c r="E474" t="s">
        <v>379</v>
      </c>
      <c r="F474">
        <v>2022</v>
      </c>
      <c r="G474">
        <v>460.36</v>
      </c>
      <c r="H474">
        <v>0.48349999999999999</v>
      </c>
      <c r="I474">
        <v>22258.405999999999</v>
      </c>
      <c r="J474" t="s">
        <v>372</v>
      </c>
    </row>
    <row r="475" spans="1:10" x14ac:dyDescent="0.35">
      <c r="A475" t="s">
        <v>859</v>
      </c>
      <c r="B475" t="s">
        <v>111</v>
      </c>
      <c r="C475" t="s">
        <v>384</v>
      </c>
      <c r="D475">
        <v>4</v>
      </c>
      <c r="E475" t="s">
        <v>394</v>
      </c>
      <c r="F475">
        <v>2023</v>
      </c>
      <c r="G475">
        <v>108.99</v>
      </c>
      <c r="H475">
        <v>0.38179999999999997</v>
      </c>
      <c r="I475">
        <v>4161.2381999999998</v>
      </c>
      <c r="J475" t="s">
        <v>372</v>
      </c>
    </row>
    <row r="476" spans="1:10" x14ac:dyDescent="0.35">
      <c r="A476" t="s">
        <v>860</v>
      </c>
      <c r="B476" t="s">
        <v>166</v>
      </c>
      <c r="C476" t="s">
        <v>374</v>
      </c>
      <c r="D476">
        <v>8</v>
      </c>
      <c r="E476" t="s">
        <v>377</v>
      </c>
      <c r="F476">
        <v>2024</v>
      </c>
      <c r="G476">
        <v>133.72</v>
      </c>
      <c r="H476">
        <v>0.42809999999999998</v>
      </c>
      <c r="I476">
        <v>5724.5531999999994</v>
      </c>
      <c r="J476" t="s">
        <v>372</v>
      </c>
    </row>
    <row r="477" spans="1:10" x14ac:dyDescent="0.35">
      <c r="A477" t="s">
        <v>861</v>
      </c>
      <c r="B477" t="s">
        <v>62</v>
      </c>
      <c r="C477" t="s">
        <v>374</v>
      </c>
      <c r="D477">
        <v>11</v>
      </c>
      <c r="E477" t="s">
        <v>371</v>
      </c>
      <c r="F477">
        <v>2024</v>
      </c>
      <c r="G477">
        <v>299.25</v>
      </c>
      <c r="H477">
        <v>0.1368</v>
      </c>
      <c r="I477">
        <v>4093.7400000000002</v>
      </c>
      <c r="J477" t="s">
        <v>372</v>
      </c>
    </row>
    <row r="478" spans="1:10" x14ac:dyDescent="0.35">
      <c r="A478" t="s">
        <v>862</v>
      </c>
      <c r="B478" t="s">
        <v>227</v>
      </c>
      <c r="C478" t="s">
        <v>374</v>
      </c>
      <c r="D478">
        <v>7</v>
      </c>
      <c r="E478" t="s">
        <v>375</v>
      </c>
      <c r="F478">
        <v>2024</v>
      </c>
      <c r="G478">
        <v>113.2</v>
      </c>
      <c r="H478">
        <v>0.64949999999999997</v>
      </c>
      <c r="I478">
        <v>7352.3399999999992</v>
      </c>
      <c r="J478" t="s">
        <v>372</v>
      </c>
    </row>
    <row r="479" spans="1:10" x14ac:dyDescent="0.35">
      <c r="A479" t="s">
        <v>863</v>
      </c>
      <c r="B479" t="s">
        <v>309</v>
      </c>
      <c r="C479" t="s">
        <v>384</v>
      </c>
      <c r="D479">
        <v>11</v>
      </c>
      <c r="E479" t="s">
        <v>371</v>
      </c>
      <c r="F479">
        <v>2024</v>
      </c>
      <c r="G479">
        <v>404.14</v>
      </c>
      <c r="H479">
        <v>0.71740000000000004</v>
      </c>
      <c r="I479">
        <v>28993.003600000004</v>
      </c>
      <c r="J479" t="s">
        <v>372</v>
      </c>
    </row>
    <row r="480" spans="1:10" x14ac:dyDescent="0.35">
      <c r="A480" t="s">
        <v>864</v>
      </c>
      <c r="B480" t="s">
        <v>270</v>
      </c>
      <c r="C480" t="s">
        <v>374</v>
      </c>
      <c r="D480">
        <v>7</v>
      </c>
      <c r="E480" t="s">
        <v>375</v>
      </c>
      <c r="F480">
        <v>2022</v>
      </c>
      <c r="G480">
        <v>62.23</v>
      </c>
      <c r="H480">
        <v>0.41959999999999997</v>
      </c>
      <c r="I480">
        <v>2611.1707999999999</v>
      </c>
      <c r="J480" t="s">
        <v>372</v>
      </c>
    </row>
    <row r="481" spans="1:10" x14ac:dyDescent="0.35">
      <c r="A481" t="s">
        <v>865</v>
      </c>
      <c r="B481" t="s">
        <v>212</v>
      </c>
      <c r="C481" t="s">
        <v>384</v>
      </c>
      <c r="D481">
        <v>11</v>
      </c>
      <c r="E481" t="s">
        <v>371</v>
      </c>
      <c r="F481">
        <v>2022</v>
      </c>
      <c r="G481">
        <v>350.44</v>
      </c>
      <c r="H481">
        <v>0.83640000000000003</v>
      </c>
      <c r="I481">
        <v>29310.801600000003</v>
      </c>
      <c r="J481" t="s">
        <v>372</v>
      </c>
    </row>
    <row r="482" spans="1:10" x14ac:dyDescent="0.35">
      <c r="A482" t="s">
        <v>866</v>
      </c>
      <c r="B482" t="s">
        <v>191</v>
      </c>
      <c r="C482" t="s">
        <v>374</v>
      </c>
      <c r="D482">
        <v>4</v>
      </c>
      <c r="E482" t="s">
        <v>394</v>
      </c>
      <c r="F482">
        <v>2023</v>
      </c>
      <c r="G482">
        <v>12.83</v>
      </c>
      <c r="H482">
        <v>0.41720000000000002</v>
      </c>
      <c r="I482">
        <v>535.26760000000002</v>
      </c>
      <c r="J482" t="s">
        <v>372</v>
      </c>
    </row>
    <row r="483" spans="1:10" x14ac:dyDescent="0.35">
      <c r="A483" t="s">
        <v>867</v>
      </c>
      <c r="B483" t="s">
        <v>260</v>
      </c>
      <c r="C483" t="s">
        <v>384</v>
      </c>
      <c r="D483">
        <v>1</v>
      </c>
      <c r="E483" t="s">
        <v>381</v>
      </c>
      <c r="F483">
        <v>2024</v>
      </c>
      <c r="G483">
        <v>234.6</v>
      </c>
      <c r="H483">
        <v>0.60860000000000003</v>
      </c>
      <c r="I483">
        <v>14277.755999999999</v>
      </c>
      <c r="J483" t="s">
        <v>372</v>
      </c>
    </row>
    <row r="484" spans="1:10" x14ac:dyDescent="0.35">
      <c r="A484" t="s">
        <v>868</v>
      </c>
      <c r="B484" t="s">
        <v>239</v>
      </c>
      <c r="C484" t="s">
        <v>370</v>
      </c>
      <c r="D484">
        <v>12</v>
      </c>
      <c r="E484" t="s">
        <v>487</v>
      </c>
      <c r="F484">
        <v>2024</v>
      </c>
      <c r="G484">
        <v>357.04</v>
      </c>
      <c r="H484">
        <v>0.5141</v>
      </c>
      <c r="I484">
        <v>18355.4264</v>
      </c>
      <c r="J484" t="s">
        <v>372</v>
      </c>
    </row>
    <row r="485" spans="1:10" x14ac:dyDescent="0.35">
      <c r="A485" t="s">
        <v>869</v>
      </c>
      <c r="B485" t="s">
        <v>251</v>
      </c>
      <c r="C485" t="s">
        <v>370</v>
      </c>
      <c r="D485">
        <v>3</v>
      </c>
      <c r="E485" t="s">
        <v>391</v>
      </c>
      <c r="F485">
        <v>2024</v>
      </c>
      <c r="G485">
        <v>157.53</v>
      </c>
      <c r="H485">
        <v>0.61409999999999998</v>
      </c>
      <c r="I485">
        <v>9673.9172999999992</v>
      </c>
      <c r="J485" t="s">
        <v>372</v>
      </c>
    </row>
    <row r="486" spans="1:10" x14ac:dyDescent="0.35">
      <c r="A486" t="s">
        <v>870</v>
      </c>
      <c r="B486" t="s">
        <v>313</v>
      </c>
      <c r="C486" t="s">
        <v>374</v>
      </c>
      <c r="D486">
        <v>2</v>
      </c>
      <c r="E486" t="s">
        <v>389</v>
      </c>
      <c r="F486">
        <v>2022</v>
      </c>
      <c r="G486">
        <v>453.49</v>
      </c>
      <c r="H486">
        <v>0.72199999999999998</v>
      </c>
      <c r="I486">
        <v>32741.977999999999</v>
      </c>
      <c r="J486" t="s">
        <v>372</v>
      </c>
    </row>
    <row r="487" spans="1:10" x14ac:dyDescent="0.35">
      <c r="A487" t="s">
        <v>871</v>
      </c>
      <c r="B487" t="s">
        <v>237</v>
      </c>
      <c r="C487" t="s">
        <v>374</v>
      </c>
      <c r="D487">
        <v>4</v>
      </c>
      <c r="E487" t="s">
        <v>394</v>
      </c>
      <c r="F487">
        <v>2023</v>
      </c>
      <c r="G487">
        <v>283.67</v>
      </c>
      <c r="H487">
        <v>0.75470000000000004</v>
      </c>
      <c r="I487">
        <v>21408.574900000003</v>
      </c>
      <c r="J487" t="s">
        <v>372</v>
      </c>
    </row>
    <row r="488" spans="1:10" x14ac:dyDescent="0.35">
      <c r="A488" t="s">
        <v>872</v>
      </c>
      <c r="B488" t="s">
        <v>354</v>
      </c>
      <c r="C488" t="s">
        <v>384</v>
      </c>
      <c r="D488">
        <v>1</v>
      </c>
      <c r="E488" t="s">
        <v>381</v>
      </c>
      <c r="F488">
        <v>2023</v>
      </c>
      <c r="G488">
        <v>44.09</v>
      </c>
      <c r="H488">
        <v>0.35370000000000001</v>
      </c>
      <c r="I488">
        <v>1559.4633000000001</v>
      </c>
      <c r="J488" t="s">
        <v>372</v>
      </c>
    </row>
    <row r="489" spans="1:10" x14ac:dyDescent="0.35">
      <c r="A489" t="s">
        <v>873</v>
      </c>
      <c r="B489" t="s">
        <v>343</v>
      </c>
      <c r="C489" t="s">
        <v>370</v>
      </c>
      <c r="D489">
        <v>5</v>
      </c>
      <c r="E489" t="s">
        <v>417</v>
      </c>
      <c r="F489">
        <v>2024</v>
      </c>
      <c r="G489">
        <v>180.36</v>
      </c>
      <c r="H489">
        <v>0.64929999999999999</v>
      </c>
      <c r="I489">
        <v>11710.774799999999</v>
      </c>
      <c r="J489" t="s">
        <v>372</v>
      </c>
    </row>
    <row r="490" spans="1:10" x14ac:dyDescent="0.35">
      <c r="A490" t="s">
        <v>874</v>
      </c>
      <c r="B490" t="s">
        <v>135</v>
      </c>
      <c r="C490" t="s">
        <v>374</v>
      </c>
      <c r="D490">
        <v>12</v>
      </c>
      <c r="E490" t="s">
        <v>487</v>
      </c>
      <c r="F490">
        <v>2022</v>
      </c>
      <c r="G490">
        <v>372.1</v>
      </c>
      <c r="H490">
        <v>0.81320000000000003</v>
      </c>
      <c r="I490">
        <v>30259.172000000002</v>
      </c>
      <c r="J490" t="s">
        <v>372</v>
      </c>
    </row>
    <row r="491" spans="1:10" x14ac:dyDescent="0.35">
      <c r="A491" t="s">
        <v>875</v>
      </c>
      <c r="B491" t="s">
        <v>52</v>
      </c>
      <c r="C491" t="s">
        <v>384</v>
      </c>
      <c r="D491">
        <v>11</v>
      </c>
      <c r="E491" t="s">
        <v>371</v>
      </c>
      <c r="F491">
        <v>2022</v>
      </c>
      <c r="G491">
        <v>167.6</v>
      </c>
      <c r="H491">
        <v>0.43180000000000002</v>
      </c>
      <c r="I491">
        <v>7236.9679999999998</v>
      </c>
      <c r="J491" t="s">
        <v>372</v>
      </c>
    </row>
    <row r="492" spans="1:10" x14ac:dyDescent="0.35">
      <c r="A492" t="s">
        <v>876</v>
      </c>
      <c r="B492" t="s">
        <v>183</v>
      </c>
      <c r="C492" t="s">
        <v>384</v>
      </c>
      <c r="D492">
        <v>3</v>
      </c>
      <c r="E492" t="s">
        <v>391</v>
      </c>
      <c r="F492">
        <v>2024</v>
      </c>
      <c r="G492">
        <v>234.34</v>
      </c>
      <c r="H492">
        <v>0.78310000000000002</v>
      </c>
      <c r="I492">
        <v>18351.165399999998</v>
      </c>
      <c r="J492" t="s">
        <v>372</v>
      </c>
    </row>
    <row r="493" spans="1:10" x14ac:dyDescent="0.35">
      <c r="A493" t="s">
        <v>877</v>
      </c>
      <c r="B493" t="s">
        <v>342</v>
      </c>
      <c r="C493" t="s">
        <v>370</v>
      </c>
      <c r="D493">
        <v>7</v>
      </c>
      <c r="E493" t="s">
        <v>375</v>
      </c>
      <c r="F493">
        <v>2023</v>
      </c>
      <c r="G493">
        <v>60.01</v>
      </c>
      <c r="H493">
        <v>0.44569999999999999</v>
      </c>
      <c r="I493">
        <v>2674.6457</v>
      </c>
      <c r="J493" t="s">
        <v>372</v>
      </c>
    </row>
    <row r="494" spans="1:10" x14ac:dyDescent="0.35">
      <c r="A494" t="s">
        <v>878</v>
      </c>
      <c r="B494" t="s">
        <v>307</v>
      </c>
      <c r="C494" t="s">
        <v>384</v>
      </c>
      <c r="D494">
        <v>7</v>
      </c>
      <c r="E494" t="s">
        <v>375</v>
      </c>
      <c r="F494">
        <v>2023</v>
      </c>
      <c r="G494">
        <v>115.24</v>
      </c>
      <c r="H494">
        <v>0.15859999999999999</v>
      </c>
      <c r="I494">
        <v>1827.7064</v>
      </c>
      <c r="J494" t="s">
        <v>372</v>
      </c>
    </row>
    <row r="495" spans="1:10" x14ac:dyDescent="0.35">
      <c r="A495" t="s">
        <v>879</v>
      </c>
      <c r="B495" t="s">
        <v>54</v>
      </c>
      <c r="C495" t="s">
        <v>384</v>
      </c>
      <c r="D495">
        <v>5</v>
      </c>
      <c r="E495" t="s">
        <v>417</v>
      </c>
      <c r="F495">
        <v>2024</v>
      </c>
      <c r="G495">
        <v>117.22</v>
      </c>
      <c r="H495">
        <v>0.49480000000000002</v>
      </c>
      <c r="I495">
        <v>5800.0456000000004</v>
      </c>
      <c r="J495" t="s">
        <v>372</v>
      </c>
    </row>
    <row r="496" spans="1:10" x14ac:dyDescent="0.35">
      <c r="A496" t="s">
        <v>880</v>
      </c>
      <c r="B496" t="s">
        <v>163</v>
      </c>
      <c r="C496" t="s">
        <v>374</v>
      </c>
      <c r="D496">
        <v>9</v>
      </c>
      <c r="E496" t="s">
        <v>403</v>
      </c>
      <c r="F496">
        <v>2024</v>
      </c>
      <c r="G496">
        <v>153.74</v>
      </c>
      <c r="H496">
        <v>0.66649999999999998</v>
      </c>
      <c r="I496">
        <v>10246.770999999999</v>
      </c>
      <c r="J496" t="s">
        <v>372</v>
      </c>
    </row>
    <row r="497" spans="1:10" x14ac:dyDescent="0.35">
      <c r="A497" t="s">
        <v>881</v>
      </c>
      <c r="B497" t="s">
        <v>313</v>
      </c>
      <c r="C497" t="s">
        <v>374</v>
      </c>
      <c r="D497">
        <v>11</v>
      </c>
      <c r="E497" t="s">
        <v>371</v>
      </c>
      <c r="F497">
        <v>2024</v>
      </c>
      <c r="G497">
        <v>178.34</v>
      </c>
      <c r="H497">
        <v>0.68389999999999995</v>
      </c>
      <c r="I497">
        <v>12196.6726</v>
      </c>
      <c r="J497" t="s">
        <v>372</v>
      </c>
    </row>
    <row r="498" spans="1:10" x14ac:dyDescent="0.35">
      <c r="A498" t="s">
        <v>882</v>
      </c>
      <c r="B498" t="s">
        <v>200</v>
      </c>
      <c r="C498" t="s">
        <v>374</v>
      </c>
      <c r="D498">
        <v>1</v>
      </c>
      <c r="E498" t="s">
        <v>381</v>
      </c>
      <c r="F498">
        <v>2024</v>
      </c>
      <c r="G498">
        <v>317.42</v>
      </c>
      <c r="H498">
        <v>0.1101</v>
      </c>
      <c r="I498">
        <v>3494.7942000000003</v>
      </c>
      <c r="J498" t="s">
        <v>372</v>
      </c>
    </row>
    <row r="499" spans="1:10" x14ac:dyDescent="0.35">
      <c r="A499" t="s">
        <v>883</v>
      </c>
      <c r="B499" t="s">
        <v>121</v>
      </c>
      <c r="C499" t="s">
        <v>370</v>
      </c>
      <c r="D499">
        <v>7</v>
      </c>
      <c r="E499" t="s">
        <v>375</v>
      </c>
      <c r="F499">
        <v>2022</v>
      </c>
      <c r="G499">
        <v>436.44</v>
      </c>
      <c r="H499">
        <v>0.1089</v>
      </c>
      <c r="I499">
        <v>4752.8315999999995</v>
      </c>
      <c r="J499" t="s">
        <v>372</v>
      </c>
    </row>
    <row r="500" spans="1:10" x14ac:dyDescent="0.35">
      <c r="A500" t="s">
        <v>884</v>
      </c>
      <c r="B500" t="s">
        <v>223</v>
      </c>
      <c r="C500" t="s">
        <v>384</v>
      </c>
      <c r="D500">
        <v>9</v>
      </c>
      <c r="E500" t="s">
        <v>403</v>
      </c>
      <c r="F500">
        <v>2023</v>
      </c>
      <c r="G500">
        <v>88.09</v>
      </c>
      <c r="H500">
        <v>0.50729999999999997</v>
      </c>
      <c r="I500">
        <v>4468.8056999999999</v>
      </c>
      <c r="J500" t="s">
        <v>372</v>
      </c>
    </row>
    <row r="501" spans="1:10" x14ac:dyDescent="0.35">
      <c r="A501" t="s">
        <v>885</v>
      </c>
      <c r="B501" t="s">
        <v>290</v>
      </c>
      <c r="C501" t="s">
        <v>374</v>
      </c>
      <c r="D501">
        <v>10</v>
      </c>
      <c r="E501" t="s">
        <v>387</v>
      </c>
      <c r="F501">
        <v>2023</v>
      </c>
      <c r="G501">
        <v>57.66</v>
      </c>
      <c r="H501">
        <v>0.33279999999999998</v>
      </c>
      <c r="I501">
        <v>1918.9248</v>
      </c>
      <c r="J501" t="s">
        <v>372</v>
      </c>
    </row>
    <row r="502" spans="1:10" x14ac:dyDescent="0.35">
      <c r="A502" t="s">
        <v>886</v>
      </c>
      <c r="B502" t="s">
        <v>345</v>
      </c>
      <c r="C502" t="s">
        <v>384</v>
      </c>
      <c r="D502">
        <v>1</v>
      </c>
      <c r="E502" t="s">
        <v>381</v>
      </c>
      <c r="F502">
        <v>2022</v>
      </c>
      <c r="G502">
        <v>173.81</v>
      </c>
      <c r="H502">
        <v>0.2878</v>
      </c>
      <c r="I502">
        <v>5002.2518</v>
      </c>
      <c r="J502" t="s">
        <v>372</v>
      </c>
    </row>
    <row r="503" spans="1:10" x14ac:dyDescent="0.35">
      <c r="A503" t="s">
        <v>887</v>
      </c>
      <c r="B503" t="s">
        <v>340</v>
      </c>
      <c r="C503" t="s">
        <v>384</v>
      </c>
      <c r="D503">
        <v>5</v>
      </c>
      <c r="E503" t="s">
        <v>417</v>
      </c>
      <c r="F503">
        <v>2022</v>
      </c>
      <c r="G503">
        <v>326.48</v>
      </c>
      <c r="H503">
        <v>0.4153</v>
      </c>
      <c r="I503">
        <v>13558.714399999999</v>
      </c>
      <c r="J503" t="s">
        <v>372</v>
      </c>
    </row>
    <row r="504" spans="1:10" x14ac:dyDescent="0.35">
      <c r="A504" t="s">
        <v>888</v>
      </c>
      <c r="B504" t="s">
        <v>86</v>
      </c>
      <c r="C504" t="s">
        <v>384</v>
      </c>
      <c r="D504">
        <v>5</v>
      </c>
      <c r="E504" t="s">
        <v>417</v>
      </c>
      <c r="F504">
        <v>2022</v>
      </c>
      <c r="G504">
        <v>92.9</v>
      </c>
      <c r="H504">
        <v>0.56089999999999995</v>
      </c>
      <c r="I504">
        <v>5210.7610000000004</v>
      </c>
      <c r="J504" t="s">
        <v>372</v>
      </c>
    </row>
    <row r="505" spans="1:10" x14ac:dyDescent="0.35">
      <c r="A505" t="s">
        <v>889</v>
      </c>
      <c r="B505" t="s">
        <v>316</v>
      </c>
      <c r="C505" t="s">
        <v>384</v>
      </c>
      <c r="D505">
        <v>4</v>
      </c>
      <c r="E505" t="s">
        <v>394</v>
      </c>
      <c r="F505">
        <v>2022</v>
      </c>
      <c r="G505">
        <v>82.49</v>
      </c>
      <c r="H505">
        <v>0.43630000000000002</v>
      </c>
      <c r="I505">
        <v>3599.0387000000001</v>
      </c>
      <c r="J505" t="s">
        <v>372</v>
      </c>
    </row>
    <row r="506" spans="1:10" x14ac:dyDescent="0.35">
      <c r="A506" t="s">
        <v>890</v>
      </c>
      <c r="B506" t="s">
        <v>164</v>
      </c>
      <c r="C506" t="s">
        <v>384</v>
      </c>
      <c r="D506">
        <v>12</v>
      </c>
      <c r="E506" t="s">
        <v>487</v>
      </c>
      <c r="F506">
        <v>2022</v>
      </c>
      <c r="G506">
        <v>324.49</v>
      </c>
      <c r="H506">
        <v>0.14399999999999999</v>
      </c>
      <c r="I506">
        <v>4672.6559999999999</v>
      </c>
      <c r="J506" t="s">
        <v>372</v>
      </c>
    </row>
    <row r="507" spans="1:10" x14ac:dyDescent="0.35">
      <c r="A507" t="s">
        <v>891</v>
      </c>
      <c r="B507" t="s">
        <v>320</v>
      </c>
      <c r="C507" t="s">
        <v>384</v>
      </c>
      <c r="D507">
        <v>12</v>
      </c>
      <c r="E507" t="s">
        <v>487</v>
      </c>
      <c r="F507">
        <v>2023</v>
      </c>
      <c r="G507">
        <v>485.16</v>
      </c>
      <c r="H507">
        <v>0.1166</v>
      </c>
      <c r="I507">
        <v>5656.9656000000004</v>
      </c>
      <c r="J507" t="s">
        <v>372</v>
      </c>
    </row>
    <row r="508" spans="1:10" x14ac:dyDescent="0.35">
      <c r="A508" t="s">
        <v>892</v>
      </c>
      <c r="B508" t="s">
        <v>93</v>
      </c>
      <c r="C508" t="s">
        <v>384</v>
      </c>
      <c r="D508">
        <v>9</v>
      </c>
      <c r="E508" t="s">
        <v>403</v>
      </c>
      <c r="F508">
        <v>2022</v>
      </c>
      <c r="G508">
        <v>256.39999999999998</v>
      </c>
      <c r="H508">
        <v>0.75119999999999998</v>
      </c>
      <c r="I508">
        <v>19260.768</v>
      </c>
      <c r="J508" t="s">
        <v>372</v>
      </c>
    </row>
    <row r="509" spans="1:10" x14ac:dyDescent="0.35">
      <c r="A509" t="s">
        <v>893</v>
      </c>
      <c r="B509" t="s">
        <v>121</v>
      </c>
      <c r="C509" t="s">
        <v>384</v>
      </c>
      <c r="D509">
        <v>1</v>
      </c>
      <c r="E509" t="s">
        <v>381</v>
      </c>
      <c r="F509">
        <v>2024</v>
      </c>
      <c r="G509">
        <v>403.23</v>
      </c>
      <c r="H509">
        <v>0.64239999999999997</v>
      </c>
      <c r="I509">
        <v>25903.495199999998</v>
      </c>
      <c r="J509" t="s">
        <v>372</v>
      </c>
    </row>
    <row r="510" spans="1:10" x14ac:dyDescent="0.35">
      <c r="A510" t="s">
        <v>894</v>
      </c>
      <c r="B510" t="s">
        <v>117</v>
      </c>
      <c r="C510" t="s">
        <v>384</v>
      </c>
      <c r="D510">
        <v>10</v>
      </c>
      <c r="E510" t="s">
        <v>387</v>
      </c>
      <c r="F510">
        <v>2024</v>
      </c>
      <c r="G510">
        <v>466.74</v>
      </c>
      <c r="H510">
        <v>0.2218</v>
      </c>
      <c r="I510">
        <v>10352.2932</v>
      </c>
      <c r="J510" t="s">
        <v>372</v>
      </c>
    </row>
    <row r="511" spans="1:10" x14ac:dyDescent="0.35">
      <c r="A511" t="s">
        <v>895</v>
      </c>
      <c r="B511" t="s">
        <v>259</v>
      </c>
      <c r="C511" t="s">
        <v>374</v>
      </c>
      <c r="D511">
        <v>6</v>
      </c>
      <c r="E511" t="s">
        <v>379</v>
      </c>
      <c r="F511">
        <v>2024</v>
      </c>
      <c r="G511">
        <v>151.84</v>
      </c>
      <c r="H511">
        <v>0.46439999999999998</v>
      </c>
      <c r="I511">
        <v>7051.449599999999</v>
      </c>
      <c r="J511" t="s">
        <v>372</v>
      </c>
    </row>
    <row r="512" spans="1:10" x14ac:dyDescent="0.35">
      <c r="A512" t="s">
        <v>896</v>
      </c>
      <c r="B512" t="s">
        <v>78</v>
      </c>
      <c r="C512" t="s">
        <v>370</v>
      </c>
      <c r="D512">
        <v>5</v>
      </c>
      <c r="E512" t="s">
        <v>417</v>
      </c>
      <c r="F512">
        <v>2022</v>
      </c>
      <c r="G512">
        <v>111.24</v>
      </c>
      <c r="H512">
        <v>0.26169999999999999</v>
      </c>
      <c r="I512">
        <v>2911.1507999999999</v>
      </c>
      <c r="J512" t="s">
        <v>372</v>
      </c>
    </row>
    <row r="513" spans="1:10" x14ac:dyDescent="0.35">
      <c r="A513" t="s">
        <v>897</v>
      </c>
      <c r="B513" t="s">
        <v>292</v>
      </c>
      <c r="C513" t="s">
        <v>370</v>
      </c>
      <c r="D513">
        <v>10</v>
      </c>
      <c r="E513" t="s">
        <v>387</v>
      </c>
      <c r="F513">
        <v>2024</v>
      </c>
      <c r="G513">
        <v>93.41</v>
      </c>
      <c r="H513">
        <v>0.61109999999999998</v>
      </c>
      <c r="I513">
        <v>5708.2851000000001</v>
      </c>
      <c r="J513" t="s">
        <v>372</v>
      </c>
    </row>
    <row r="514" spans="1:10" x14ac:dyDescent="0.35">
      <c r="A514" t="s">
        <v>898</v>
      </c>
      <c r="B514" t="s">
        <v>194</v>
      </c>
      <c r="C514" t="s">
        <v>384</v>
      </c>
      <c r="D514">
        <v>6</v>
      </c>
      <c r="E514" t="s">
        <v>379</v>
      </c>
      <c r="F514">
        <v>2024</v>
      </c>
      <c r="G514">
        <v>261.79000000000002</v>
      </c>
      <c r="H514">
        <v>0.67479999999999996</v>
      </c>
      <c r="I514">
        <v>17665.589199999999</v>
      </c>
      <c r="J514" t="s">
        <v>372</v>
      </c>
    </row>
    <row r="515" spans="1:10" x14ac:dyDescent="0.35">
      <c r="A515" t="s">
        <v>899</v>
      </c>
      <c r="B515" t="s">
        <v>127</v>
      </c>
      <c r="C515" t="s">
        <v>370</v>
      </c>
      <c r="D515">
        <v>3</v>
      </c>
      <c r="E515" t="s">
        <v>391</v>
      </c>
      <c r="F515">
        <v>2023</v>
      </c>
      <c r="G515">
        <v>476.4</v>
      </c>
      <c r="H515">
        <v>0.46350000000000002</v>
      </c>
      <c r="I515">
        <v>22081.14</v>
      </c>
      <c r="J515" t="s">
        <v>372</v>
      </c>
    </row>
    <row r="516" spans="1:10" x14ac:dyDescent="0.35">
      <c r="A516" t="s">
        <v>900</v>
      </c>
      <c r="B516" t="s">
        <v>193</v>
      </c>
      <c r="C516" t="s">
        <v>370</v>
      </c>
      <c r="D516">
        <v>9</v>
      </c>
      <c r="E516" t="s">
        <v>403</v>
      </c>
      <c r="F516">
        <v>2024</v>
      </c>
      <c r="G516">
        <v>69.510000000000005</v>
      </c>
      <c r="H516">
        <v>0.14630000000000001</v>
      </c>
      <c r="I516">
        <v>1016.9313000000002</v>
      </c>
      <c r="J516" t="s">
        <v>372</v>
      </c>
    </row>
    <row r="517" spans="1:10" x14ac:dyDescent="0.35">
      <c r="A517" t="s">
        <v>901</v>
      </c>
      <c r="B517" t="s">
        <v>54</v>
      </c>
      <c r="C517" t="s">
        <v>374</v>
      </c>
      <c r="D517">
        <v>1</v>
      </c>
      <c r="E517" t="s">
        <v>381</v>
      </c>
      <c r="F517">
        <v>2022</v>
      </c>
      <c r="G517">
        <v>127.12</v>
      </c>
      <c r="H517">
        <v>0.65090000000000003</v>
      </c>
      <c r="I517">
        <v>8274.2408000000014</v>
      </c>
      <c r="J517" t="s">
        <v>372</v>
      </c>
    </row>
    <row r="518" spans="1:10" x14ac:dyDescent="0.35">
      <c r="A518" t="s">
        <v>902</v>
      </c>
      <c r="B518" t="s">
        <v>351</v>
      </c>
      <c r="C518" t="s">
        <v>374</v>
      </c>
      <c r="D518">
        <v>7</v>
      </c>
      <c r="E518" t="s">
        <v>375</v>
      </c>
      <c r="F518">
        <v>2024</v>
      </c>
      <c r="G518">
        <v>455.88</v>
      </c>
      <c r="H518">
        <v>0.75700000000000001</v>
      </c>
      <c r="I518">
        <v>34510.116000000002</v>
      </c>
      <c r="J518" t="s">
        <v>372</v>
      </c>
    </row>
    <row r="519" spans="1:10" x14ac:dyDescent="0.35">
      <c r="A519" t="s">
        <v>903</v>
      </c>
      <c r="B519" t="s">
        <v>345</v>
      </c>
      <c r="C519" t="s">
        <v>384</v>
      </c>
      <c r="D519">
        <v>9</v>
      </c>
      <c r="E519" t="s">
        <v>403</v>
      </c>
      <c r="F519">
        <v>2024</v>
      </c>
      <c r="G519">
        <v>394.55</v>
      </c>
      <c r="H519">
        <v>0.6361</v>
      </c>
      <c r="I519">
        <v>25097.325499999999</v>
      </c>
      <c r="J519" t="s">
        <v>372</v>
      </c>
    </row>
    <row r="520" spans="1:10" x14ac:dyDescent="0.35">
      <c r="A520" t="s">
        <v>904</v>
      </c>
      <c r="B520" t="s">
        <v>308</v>
      </c>
      <c r="C520" t="s">
        <v>384</v>
      </c>
      <c r="D520">
        <v>6</v>
      </c>
      <c r="E520" t="s">
        <v>379</v>
      </c>
      <c r="F520">
        <v>2023</v>
      </c>
      <c r="G520">
        <v>280.51</v>
      </c>
      <c r="H520">
        <v>0.74250000000000005</v>
      </c>
      <c r="I520">
        <v>20827.8675</v>
      </c>
      <c r="J520" t="s">
        <v>372</v>
      </c>
    </row>
    <row r="521" spans="1:10" x14ac:dyDescent="0.35">
      <c r="A521" t="s">
        <v>905</v>
      </c>
      <c r="B521" t="s">
        <v>188</v>
      </c>
      <c r="C521" t="s">
        <v>374</v>
      </c>
      <c r="D521">
        <v>12</v>
      </c>
      <c r="E521" t="s">
        <v>487</v>
      </c>
      <c r="F521">
        <v>2024</v>
      </c>
      <c r="G521">
        <v>55.48</v>
      </c>
      <c r="H521">
        <v>0.51380000000000003</v>
      </c>
      <c r="I521">
        <v>2850.5624000000003</v>
      </c>
      <c r="J521" t="s">
        <v>372</v>
      </c>
    </row>
    <row r="522" spans="1:10" x14ac:dyDescent="0.35">
      <c r="A522" t="s">
        <v>906</v>
      </c>
      <c r="B522" t="s">
        <v>21</v>
      </c>
      <c r="C522" t="s">
        <v>384</v>
      </c>
      <c r="D522">
        <v>11</v>
      </c>
      <c r="E522" t="s">
        <v>371</v>
      </c>
      <c r="F522">
        <v>2024</v>
      </c>
      <c r="G522">
        <v>477.18</v>
      </c>
      <c r="H522">
        <v>0.27900000000000003</v>
      </c>
      <c r="I522">
        <v>13313.322000000002</v>
      </c>
      <c r="J522" t="s">
        <v>372</v>
      </c>
    </row>
    <row r="523" spans="1:10" x14ac:dyDescent="0.35">
      <c r="A523" t="s">
        <v>907</v>
      </c>
      <c r="B523" t="s">
        <v>9</v>
      </c>
      <c r="C523" t="s">
        <v>374</v>
      </c>
      <c r="D523">
        <v>9</v>
      </c>
      <c r="E523" t="s">
        <v>403</v>
      </c>
      <c r="F523">
        <v>2023</v>
      </c>
      <c r="G523">
        <v>174.82</v>
      </c>
      <c r="H523">
        <v>0.43840000000000001</v>
      </c>
      <c r="I523">
        <v>7664.1088</v>
      </c>
      <c r="J523" t="s">
        <v>372</v>
      </c>
    </row>
    <row r="524" spans="1:10" x14ac:dyDescent="0.35">
      <c r="A524" t="s">
        <v>908</v>
      </c>
      <c r="B524" t="s">
        <v>147</v>
      </c>
      <c r="C524" t="s">
        <v>384</v>
      </c>
      <c r="D524">
        <v>6</v>
      </c>
      <c r="E524" t="s">
        <v>379</v>
      </c>
      <c r="F524">
        <v>2022</v>
      </c>
      <c r="G524">
        <v>173.53</v>
      </c>
      <c r="H524">
        <v>0.43099999999999999</v>
      </c>
      <c r="I524">
        <v>7479.1430000000009</v>
      </c>
      <c r="J524" t="s">
        <v>372</v>
      </c>
    </row>
    <row r="525" spans="1:10" x14ac:dyDescent="0.35">
      <c r="A525" t="s">
        <v>909</v>
      </c>
      <c r="B525" t="s">
        <v>244</v>
      </c>
      <c r="C525" t="s">
        <v>374</v>
      </c>
      <c r="D525">
        <v>12</v>
      </c>
      <c r="E525" t="s">
        <v>487</v>
      </c>
      <c r="F525">
        <v>2023</v>
      </c>
      <c r="G525">
        <v>160.91</v>
      </c>
      <c r="H525">
        <v>0.40870000000000001</v>
      </c>
      <c r="I525">
        <v>6576.391700000001</v>
      </c>
      <c r="J525" t="s">
        <v>372</v>
      </c>
    </row>
    <row r="526" spans="1:10" x14ac:dyDescent="0.35">
      <c r="A526" t="s">
        <v>910</v>
      </c>
      <c r="B526" t="s">
        <v>304</v>
      </c>
      <c r="C526" t="s">
        <v>370</v>
      </c>
      <c r="D526">
        <v>10</v>
      </c>
      <c r="E526" t="s">
        <v>387</v>
      </c>
      <c r="F526">
        <v>2024</v>
      </c>
      <c r="G526">
        <v>196.12</v>
      </c>
      <c r="H526">
        <v>0.72499999999999998</v>
      </c>
      <c r="I526">
        <v>14218.7</v>
      </c>
      <c r="J526" t="s">
        <v>372</v>
      </c>
    </row>
    <row r="527" spans="1:10" x14ac:dyDescent="0.35">
      <c r="A527" t="s">
        <v>911</v>
      </c>
      <c r="B527" t="s">
        <v>250</v>
      </c>
      <c r="C527" t="s">
        <v>374</v>
      </c>
      <c r="D527">
        <v>4</v>
      </c>
      <c r="E527" t="s">
        <v>394</v>
      </c>
      <c r="F527">
        <v>2023</v>
      </c>
      <c r="G527">
        <v>413.16</v>
      </c>
      <c r="H527">
        <v>0.18429999999999999</v>
      </c>
      <c r="I527">
        <v>7614.5387999999994</v>
      </c>
      <c r="J527" t="s">
        <v>372</v>
      </c>
    </row>
    <row r="528" spans="1:10" x14ac:dyDescent="0.35">
      <c r="A528" t="s">
        <v>912</v>
      </c>
      <c r="B528" t="s">
        <v>169</v>
      </c>
      <c r="C528" t="s">
        <v>370</v>
      </c>
      <c r="D528">
        <v>9</v>
      </c>
      <c r="E528" t="s">
        <v>403</v>
      </c>
      <c r="F528">
        <v>2024</v>
      </c>
      <c r="G528">
        <v>321.87</v>
      </c>
      <c r="H528">
        <v>0.84740000000000004</v>
      </c>
      <c r="I528">
        <v>27275.263800000001</v>
      </c>
      <c r="J528" t="s">
        <v>372</v>
      </c>
    </row>
    <row r="529" spans="1:10" x14ac:dyDescent="0.35">
      <c r="A529" t="s">
        <v>913</v>
      </c>
      <c r="B529" t="s">
        <v>253</v>
      </c>
      <c r="C529" t="s">
        <v>374</v>
      </c>
      <c r="D529">
        <v>11</v>
      </c>
      <c r="E529" t="s">
        <v>371</v>
      </c>
      <c r="F529">
        <v>2024</v>
      </c>
      <c r="G529">
        <v>196.85</v>
      </c>
      <c r="H529">
        <v>0.8115</v>
      </c>
      <c r="I529">
        <v>15974.377500000001</v>
      </c>
      <c r="J529" t="s">
        <v>372</v>
      </c>
    </row>
    <row r="530" spans="1:10" x14ac:dyDescent="0.35">
      <c r="A530" t="s">
        <v>914</v>
      </c>
      <c r="B530" t="s">
        <v>267</v>
      </c>
      <c r="C530" t="s">
        <v>374</v>
      </c>
      <c r="D530">
        <v>4</v>
      </c>
      <c r="E530" t="s">
        <v>394</v>
      </c>
      <c r="F530">
        <v>2023</v>
      </c>
      <c r="G530">
        <v>237.7</v>
      </c>
      <c r="H530">
        <v>0.48280000000000001</v>
      </c>
      <c r="I530">
        <v>11476.156000000001</v>
      </c>
      <c r="J530" t="s">
        <v>372</v>
      </c>
    </row>
    <row r="531" spans="1:10" x14ac:dyDescent="0.35">
      <c r="A531" t="s">
        <v>915</v>
      </c>
      <c r="B531" t="s">
        <v>105</v>
      </c>
      <c r="C531" t="s">
        <v>370</v>
      </c>
      <c r="D531">
        <v>6</v>
      </c>
      <c r="E531" t="s">
        <v>379</v>
      </c>
      <c r="F531">
        <v>2024</v>
      </c>
      <c r="G531">
        <v>32.64</v>
      </c>
      <c r="H531">
        <v>0.56200000000000006</v>
      </c>
      <c r="I531">
        <v>1834.3680000000002</v>
      </c>
      <c r="J531" t="s">
        <v>372</v>
      </c>
    </row>
    <row r="532" spans="1:10" x14ac:dyDescent="0.35">
      <c r="A532" t="s">
        <v>916</v>
      </c>
      <c r="B532" t="s">
        <v>121</v>
      </c>
      <c r="C532" t="s">
        <v>374</v>
      </c>
      <c r="D532">
        <v>2</v>
      </c>
      <c r="E532" t="s">
        <v>389</v>
      </c>
      <c r="F532">
        <v>2023</v>
      </c>
      <c r="G532">
        <v>204.5</v>
      </c>
      <c r="H532">
        <v>0.42480000000000001</v>
      </c>
      <c r="I532">
        <v>8687.16</v>
      </c>
      <c r="J532" t="s">
        <v>372</v>
      </c>
    </row>
    <row r="533" spans="1:10" x14ac:dyDescent="0.35">
      <c r="A533" t="s">
        <v>917</v>
      </c>
      <c r="B533" t="s">
        <v>90</v>
      </c>
      <c r="C533" t="s">
        <v>370</v>
      </c>
      <c r="D533">
        <v>10</v>
      </c>
      <c r="E533" t="s">
        <v>387</v>
      </c>
      <c r="F533">
        <v>2023</v>
      </c>
      <c r="G533">
        <v>437.01</v>
      </c>
      <c r="H533">
        <v>0.83079999999999998</v>
      </c>
      <c r="I533">
        <v>36306.790800000002</v>
      </c>
      <c r="J533" t="s">
        <v>372</v>
      </c>
    </row>
    <row r="534" spans="1:10" x14ac:dyDescent="0.35">
      <c r="A534" t="s">
        <v>918</v>
      </c>
      <c r="B534" t="s">
        <v>227</v>
      </c>
      <c r="C534" t="s">
        <v>374</v>
      </c>
      <c r="D534">
        <v>12</v>
      </c>
      <c r="E534" t="s">
        <v>487</v>
      </c>
      <c r="F534">
        <v>2024</v>
      </c>
      <c r="G534">
        <v>147.35</v>
      </c>
      <c r="H534">
        <v>0.68940000000000001</v>
      </c>
      <c r="I534">
        <v>10158.308999999999</v>
      </c>
      <c r="J534" t="s">
        <v>372</v>
      </c>
    </row>
    <row r="535" spans="1:10" x14ac:dyDescent="0.35">
      <c r="A535" t="s">
        <v>919</v>
      </c>
      <c r="B535" t="s">
        <v>272</v>
      </c>
      <c r="C535" t="s">
        <v>384</v>
      </c>
      <c r="D535">
        <v>12</v>
      </c>
      <c r="E535" t="s">
        <v>487</v>
      </c>
      <c r="F535">
        <v>2024</v>
      </c>
      <c r="G535">
        <v>11.4</v>
      </c>
      <c r="H535">
        <v>0.84540000000000004</v>
      </c>
      <c r="I535">
        <v>963.75600000000009</v>
      </c>
      <c r="J535" t="s">
        <v>372</v>
      </c>
    </row>
    <row r="536" spans="1:10" x14ac:dyDescent="0.35">
      <c r="A536" t="s">
        <v>920</v>
      </c>
      <c r="B536" t="s">
        <v>251</v>
      </c>
      <c r="C536" t="s">
        <v>384</v>
      </c>
      <c r="D536">
        <v>10</v>
      </c>
      <c r="E536" t="s">
        <v>387</v>
      </c>
      <c r="F536">
        <v>2024</v>
      </c>
      <c r="G536">
        <v>24.61</v>
      </c>
      <c r="H536">
        <v>0.37980000000000003</v>
      </c>
      <c r="I536">
        <v>934.68780000000004</v>
      </c>
      <c r="J536" t="s">
        <v>372</v>
      </c>
    </row>
    <row r="537" spans="1:10" x14ac:dyDescent="0.35">
      <c r="A537" t="s">
        <v>921</v>
      </c>
      <c r="B537" t="s">
        <v>208</v>
      </c>
      <c r="C537" t="s">
        <v>370</v>
      </c>
      <c r="D537">
        <v>2</v>
      </c>
      <c r="E537" t="s">
        <v>389</v>
      </c>
      <c r="F537">
        <v>2024</v>
      </c>
      <c r="G537">
        <v>242.88</v>
      </c>
      <c r="H537">
        <v>0.25729999999999997</v>
      </c>
      <c r="I537">
        <v>6249.3023999999987</v>
      </c>
      <c r="J537" t="s">
        <v>372</v>
      </c>
    </row>
    <row r="538" spans="1:10" x14ac:dyDescent="0.35">
      <c r="A538" t="s">
        <v>922</v>
      </c>
      <c r="B538" t="s">
        <v>101</v>
      </c>
      <c r="C538" t="s">
        <v>370</v>
      </c>
      <c r="D538">
        <v>10</v>
      </c>
      <c r="E538" t="s">
        <v>387</v>
      </c>
      <c r="F538">
        <v>2023</v>
      </c>
      <c r="G538">
        <v>255.85</v>
      </c>
      <c r="H538">
        <v>0.40810000000000002</v>
      </c>
      <c r="I538">
        <v>10441.238499999999</v>
      </c>
      <c r="J538" t="s">
        <v>372</v>
      </c>
    </row>
    <row r="539" spans="1:10" x14ac:dyDescent="0.35">
      <c r="A539" t="s">
        <v>923</v>
      </c>
      <c r="B539" t="s">
        <v>113</v>
      </c>
      <c r="C539" t="s">
        <v>374</v>
      </c>
      <c r="D539">
        <v>5</v>
      </c>
      <c r="E539" t="s">
        <v>417</v>
      </c>
      <c r="F539">
        <v>2024</v>
      </c>
      <c r="G539">
        <v>61.41</v>
      </c>
      <c r="H539">
        <v>0.6391</v>
      </c>
      <c r="I539">
        <v>3924.7130999999995</v>
      </c>
      <c r="J539" t="s">
        <v>372</v>
      </c>
    </row>
    <row r="540" spans="1:10" x14ac:dyDescent="0.35">
      <c r="A540" t="s">
        <v>924</v>
      </c>
      <c r="B540" t="s">
        <v>137</v>
      </c>
      <c r="C540" t="s">
        <v>384</v>
      </c>
      <c r="D540">
        <v>1</v>
      </c>
      <c r="E540" t="s">
        <v>381</v>
      </c>
      <c r="F540">
        <v>2022</v>
      </c>
      <c r="G540">
        <v>149.03</v>
      </c>
      <c r="H540">
        <v>0.62009999999999998</v>
      </c>
      <c r="I540">
        <v>9241.3502999999982</v>
      </c>
      <c r="J540" t="s">
        <v>372</v>
      </c>
    </row>
    <row r="541" spans="1:10" x14ac:dyDescent="0.35">
      <c r="A541" t="s">
        <v>925</v>
      </c>
      <c r="B541" t="s">
        <v>78</v>
      </c>
      <c r="C541" t="s">
        <v>370</v>
      </c>
      <c r="D541">
        <v>4</v>
      </c>
      <c r="E541" t="s">
        <v>394</v>
      </c>
      <c r="F541">
        <v>2024</v>
      </c>
      <c r="G541">
        <v>42.87</v>
      </c>
      <c r="H541">
        <v>0.65959999999999996</v>
      </c>
      <c r="I541">
        <v>2827.7051999999999</v>
      </c>
      <c r="J541" t="s">
        <v>372</v>
      </c>
    </row>
    <row r="542" spans="1:10" x14ac:dyDescent="0.35">
      <c r="A542" t="s">
        <v>926</v>
      </c>
      <c r="B542" t="s">
        <v>263</v>
      </c>
      <c r="C542" t="s">
        <v>374</v>
      </c>
      <c r="D542">
        <v>6</v>
      </c>
      <c r="E542" t="s">
        <v>379</v>
      </c>
      <c r="F542">
        <v>2022</v>
      </c>
      <c r="G542">
        <v>301.36</v>
      </c>
      <c r="H542">
        <v>0.73719999999999997</v>
      </c>
      <c r="I542">
        <v>22216.2592</v>
      </c>
      <c r="J542" t="s">
        <v>372</v>
      </c>
    </row>
    <row r="543" spans="1:10" x14ac:dyDescent="0.35">
      <c r="A543" t="s">
        <v>927</v>
      </c>
      <c r="B543" t="s">
        <v>93</v>
      </c>
      <c r="C543" t="s">
        <v>384</v>
      </c>
      <c r="D543">
        <v>8</v>
      </c>
      <c r="E543" t="s">
        <v>377</v>
      </c>
      <c r="F543">
        <v>2023</v>
      </c>
      <c r="G543">
        <v>414.44</v>
      </c>
      <c r="H543">
        <v>0.77459999999999996</v>
      </c>
      <c r="I543">
        <v>32102.522399999998</v>
      </c>
      <c r="J543" t="s">
        <v>372</v>
      </c>
    </row>
    <row r="544" spans="1:10" x14ac:dyDescent="0.35">
      <c r="A544" t="s">
        <v>928</v>
      </c>
      <c r="B544" t="s">
        <v>166</v>
      </c>
      <c r="C544" t="s">
        <v>374</v>
      </c>
      <c r="D544">
        <v>12</v>
      </c>
      <c r="E544" t="s">
        <v>487</v>
      </c>
      <c r="F544">
        <v>2024</v>
      </c>
      <c r="G544">
        <v>382.24</v>
      </c>
      <c r="H544">
        <v>0.76929999999999998</v>
      </c>
      <c r="I544">
        <v>29405.7232</v>
      </c>
      <c r="J544" t="s">
        <v>372</v>
      </c>
    </row>
    <row r="545" spans="1:10" x14ac:dyDescent="0.35">
      <c r="A545" t="s">
        <v>929</v>
      </c>
      <c r="B545" t="s">
        <v>225</v>
      </c>
      <c r="C545" t="s">
        <v>370</v>
      </c>
      <c r="D545">
        <v>3</v>
      </c>
      <c r="E545" t="s">
        <v>391</v>
      </c>
      <c r="F545">
        <v>2022</v>
      </c>
      <c r="G545">
        <v>159.53</v>
      </c>
      <c r="H545">
        <v>0.31259999999999999</v>
      </c>
      <c r="I545">
        <v>4986.9078</v>
      </c>
      <c r="J545" t="s">
        <v>372</v>
      </c>
    </row>
    <row r="546" spans="1:10" x14ac:dyDescent="0.35">
      <c r="A546" t="s">
        <v>930</v>
      </c>
      <c r="B546" t="s">
        <v>86</v>
      </c>
      <c r="C546" t="s">
        <v>384</v>
      </c>
      <c r="D546">
        <v>7</v>
      </c>
      <c r="E546" t="s">
        <v>375</v>
      </c>
      <c r="F546">
        <v>2023</v>
      </c>
      <c r="G546">
        <v>92.67</v>
      </c>
      <c r="H546">
        <v>0.37280000000000002</v>
      </c>
      <c r="I546">
        <v>3454.7375999999999</v>
      </c>
      <c r="J546" t="s">
        <v>372</v>
      </c>
    </row>
    <row r="547" spans="1:10" x14ac:dyDescent="0.35">
      <c r="A547" t="s">
        <v>931</v>
      </c>
      <c r="B547" t="s">
        <v>106</v>
      </c>
      <c r="C547" t="s">
        <v>384</v>
      </c>
      <c r="D547">
        <v>9</v>
      </c>
      <c r="E547" t="s">
        <v>403</v>
      </c>
      <c r="F547">
        <v>2024</v>
      </c>
      <c r="G547">
        <v>330.11</v>
      </c>
      <c r="H547">
        <v>0.1275</v>
      </c>
      <c r="I547">
        <v>4208.9025000000001</v>
      </c>
      <c r="J547" t="s">
        <v>372</v>
      </c>
    </row>
    <row r="548" spans="1:10" x14ac:dyDescent="0.35">
      <c r="A548" t="s">
        <v>932</v>
      </c>
      <c r="B548" t="s">
        <v>305</v>
      </c>
      <c r="C548" t="s">
        <v>374</v>
      </c>
      <c r="D548">
        <v>7</v>
      </c>
      <c r="E548" t="s">
        <v>375</v>
      </c>
      <c r="F548">
        <v>2024</v>
      </c>
      <c r="G548">
        <v>277.11</v>
      </c>
      <c r="H548">
        <v>0.59689999999999999</v>
      </c>
      <c r="I548">
        <v>16540.695899999999</v>
      </c>
      <c r="J548" t="s">
        <v>372</v>
      </c>
    </row>
    <row r="549" spans="1:10" x14ac:dyDescent="0.35">
      <c r="A549" t="s">
        <v>933</v>
      </c>
      <c r="B549" t="s">
        <v>260</v>
      </c>
      <c r="C549" t="s">
        <v>374</v>
      </c>
      <c r="D549">
        <v>9</v>
      </c>
      <c r="E549" t="s">
        <v>403</v>
      </c>
      <c r="F549">
        <v>2024</v>
      </c>
      <c r="G549">
        <v>131.80000000000001</v>
      </c>
      <c r="H549">
        <v>0.35930000000000001</v>
      </c>
      <c r="I549">
        <v>4735.5740000000005</v>
      </c>
      <c r="J549" t="s">
        <v>372</v>
      </c>
    </row>
    <row r="550" spans="1:10" x14ac:dyDescent="0.35">
      <c r="A550" t="s">
        <v>934</v>
      </c>
      <c r="B550" t="s">
        <v>185</v>
      </c>
      <c r="C550" t="s">
        <v>374</v>
      </c>
      <c r="D550">
        <v>3</v>
      </c>
      <c r="E550" t="s">
        <v>391</v>
      </c>
      <c r="F550">
        <v>2024</v>
      </c>
      <c r="G550">
        <v>218.37</v>
      </c>
      <c r="H550">
        <v>0.76980000000000004</v>
      </c>
      <c r="I550">
        <v>16810.122600000002</v>
      </c>
      <c r="J550" t="s">
        <v>372</v>
      </c>
    </row>
    <row r="551" spans="1:10" x14ac:dyDescent="0.35">
      <c r="A551" t="s">
        <v>935</v>
      </c>
      <c r="B551" t="s">
        <v>325</v>
      </c>
      <c r="C551" t="s">
        <v>384</v>
      </c>
      <c r="D551">
        <v>5</v>
      </c>
      <c r="E551" t="s">
        <v>417</v>
      </c>
      <c r="F551">
        <v>2024</v>
      </c>
      <c r="G551">
        <v>439.3</v>
      </c>
      <c r="H551">
        <v>0.70989999999999998</v>
      </c>
      <c r="I551">
        <v>31185.906999999999</v>
      </c>
      <c r="J551" t="s">
        <v>372</v>
      </c>
    </row>
    <row r="552" spans="1:10" x14ac:dyDescent="0.35">
      <c r="A552" t="s">
        <v>936</v>
      </c>
      <c r="B552" t="s">
        <v>202</v>
      </c>
      <c r="C552" t="s">
        <v>384</v>
      </c>
      <c r="D552">
        <v>5</v>
      </c>
      <c r="E552" t="s">
        <v>417</v>
      </c>
      <c r="F552">
        <v>2023</v>
      </c>
      <c r="G552">
        <v>372.09</v>
      </c>
      <c r="H552">
        <v>0.59440000000000004</v>
      </c>
      <c r="I552">
        <v>22117.029600000002</v>
      </c>
      <c r="J552" t="s">
        <v>372</v>
      </c>
    </row>
    <row r="553" spans="1:10" x14ac:dyDescent="0.35">
      <c r="A553" t="s">
        <v>937</v>
      </c>
      <c r="B553" t="s">
        <v>129</v>
      </c>
      <c r="C553" t="s">
        <v>374</v>
      </c>
      <c r="D553">
        <v>3</v>
      </c>
      <c r="E553" t="s">
        <v>391</v>
      </c>
      <c r="F553">
        <v>2024</v>
      </c>
      <c r="G553">
        <v>25.56</v>
      </c>
      <c r="H553">
        <v>0.47339999999999999</v>
      </c>
      <c r="I553">
        <v>1210.0103999999999</v>
      </c>
      <c r="J553" t="s">
        <v>372</v>
      </c>
    </row>
    <row r="554" spans="1:10" x14ac:dyDescent="0.35">
      <c r="A554" t="s">
        <v>938</v>
      </c>
      <c r="B554" t="s">
        <v>317</v>
      </c>
      <c r="C554" t="s">
        <v>370</v>
      </c>
      <c r="D554">
        <v>1</v>
      </c>
      <c r="E554" t="s">
        <v>381</v>
      </c>
      <c r="F554">
        <v>2022</v>
      </c>
      <c r="G554">
        <v>202.01</v>
      </c>
      <c r="H554">
        <v>0.35099999999999998</v>
      </c>
      <c r="I554">
        <v>7090.5509999999995</v>
      </c>
      <c r="J554" t="s">
        <v>372</v>
      </c>
    </row>
    <row r="555" spans="1:10" x14ac:dyDescent="0.35">
      <c r="A555" t="s">
        <v>939</v>
      </c>
      <c r="B555" t="s">
        <v>231</v>
      </c>
      <c r="C555" t="s">
        <v>370</v>
      </c>
      <c r="D555">
        <v>8</v>
      </c>
      <c r="E555" t="s">
        <v>377</v>
      </c>
      <c r="F555">
        <v>2022</v>
      </c>
      <c r="G555">
        <v>119.13</v>
      </c>
      <c r="H555">
        <v>0.58250000000000002</v>
      </c>
      <c r="I555">
        <v>6939.3225000000002</v>
      </c>
      <c r="J555" t="s">
        <v>372</v>
      </c>
    </row>
    <row r="556" spans="1:10" x14ac:dyDescent="0.35">
      <c r="A556" t="s">
        <v>940</v>
      </c>
      <c r="B556" t="s">
        <v>204</v>
      </c>
      <c r="C556" t="s">
        <v>374</v>
      </c>
      <c r="D556">
        <v>5</v>
      </c>
      <c r="E556" t="s">
        <v>417</v>
      </c>
      <c r="F556">
        <v>2023</v>
      </c>
      <c r="G556">
        <v>90.04</v>
      </c>
      <c r="H556">
        <v>0.2616</v>
      </c>
      <c r="I556">
        <v>2355.4464000000003</v>
      </c>
      <c r="J556" t="s">
        <v>372</v>
      </c>
    </row>
    <row r="557" spans="1:10" x14ac:dyDescent="0.35">
      <c r="A557" t="s">
        <v>941</v>
      </c>
      <c r="B557" t="s">
        <v>76</v>
      </c>
      <c r="C557" t="s">
        <v>374</v>
      </c>
      <c r="D557">
        <v>8</v>
      </c>
      <c r="E557" t="s">
        <v>377</v>
      </c>
      <c r="F557">
        <v>2022</v>
      </c>
      <c r="G557">
        <v>229.06</v>
      </c>
      <c r="H557">
        <v>0.189</v>
      </c>
      <c r="I557">
        <v>4329.2340000000004</v>
      </c>
      <c r="J557" t="s">
        <v>372</v>
      </c>
    </row>
    <row r="558" spans="1:10" x14ac:dyDescent="0.35">
      <c r="A558" t="s">
        <v>942</v>
      </c>
      <c r="B558" t="s">
        <v>179</v>
      </c>
      <c r="C558" t="s">
        <v>374</v>
      </c>
      <c r="D558">
        <v>3</v>
      </c>
      <c r="E558" t="s">
        <v>391</v>
      </c>
      <c r="F558">
        <v>2022</v>
      </c>
      <c r="G558">
        <v>122.87</v>
      </c>
      <c r="H558">
        <v>0.70840000000000003</v>
      </c>
      <c r="I558">
        <v>8704.1108000000004</v>
      </c>
      <c r="J558" t="s">
        <v>372</v>
      </c>
    </row>
    <row r="559" spans="1:10" x14ac:dyDescent="0.35">
      <c r="A559" t="s">
        <v>943</v>
      </c>
      <c r="B559" t="s">
        <v>270</v>
      </c>
      <c r="C559" t="s">
        <v>370</v>
      </c>
      <c r="D559">
        <v>9</v>
      </c>
      <c r="E559" t="s">
        <v>403</v>
      </c>
      <c r="F559">
        <v>2023</v>
      </c>
      <c r="G559">
        <v>156.44</v>
      </c>
      <c r="H559">
        <v>0.39610000000000001</v>
      </c>
      <c r="I559">
        <v>6196.5884000000005</v>
      </c>
      <c r="J559" t="s">
        <v>372</v>
      </c>
    </row>
    <row r="560" spans="1:10" x14ac:dyDescent="0.35">
      <c r="A560" t="s">
        <v>944</v>
      </c>
      <c r="B560" t="s">
        <v>196</v>
      </c>
      <c r="C560" t="s">
        <v>370</v>
      </c>
      <c r="D560">
        <v>6</v>
      </c>
      <c r="E560" t="s">
        <v>379</v>
      </c>
      <c r="F560">
        <v>2022</v>
      </c>
      <c r="G560">
        <v>238.63</v>
      </c>
      <c r="H560">
        <v>0.37109999999999999</v>
      </c>
      <c r="I560">
        <v>8855.5593000000008</v>
      </c>
      <c r="J560" t="s">
        <v>372</v>
      </c>
    </row>
    <row r="561" spans="1:10" x14ac:dyDescent="0.35">
      <c r="A561" t="s">
        <v>945</v>
      </c>
      <c r="B561" t="s">
        <v>200</v>
      </c>
      <c r="C561" t="s">
        <v>374</v>
      </c>
      <c r="D561">
        <v>9</v>
      </c>
      <c r="E561" t="s">
        <v>403</v>
      </c>
      <c r="F561">
        <v>2024</v>
      </c>
      <c r="G561">
        <v>11.52</v>
      </c>
      <c r="H561">
        <v>0.79159999999999997</v>
      </c>
      <c r="I561">
        <v>911.92319999999984</v>
      </c>
      <c r="J561" t="s">
        <v>372</v>
      </c>
    </row>
    <row r="562" spans="1:10" x14ac:dyDescent="0.35">
      <c r="A562" t="s">
        <v>946</v>
      </c>
      <c r="B562" t="s">
        <v>307</v>
      </c>
      <c r="C562" t="s">
        <v>384</v>
      </c>
      <c r="D562">
        <v>9</v>
      </c>
      <c r="E562" t="s">
        <v>403</v>
      </c>
      <c r="F562">
        <v>2023</v>
      </c>
      <c r="G562">
        <v>413.19</v>
      </c>
      <c r="H562">
        <v>0.371</v>
      </c>
      <c r="I562">
        <v>15329.348999999998</v>
      </c>
      <c r="J562" t="s">
        <v>372</v>
      </c>
    </row>
    <row r="563" spans="1:10" x14ac:dyDescent="0.35">
      <c r="A563" t="s">
        <v>947</v>
      </c>
      <c r="B563" t="s">
        <v>265</v>
      </c>
      <c r="C563" t="s">
        <v>370</v>
      </c>
      <c r="D563">
        <v>5</v>
      </c>
      <c r="E563" t="s">
        <v>417</v>
      </c>
      <c r="F563">
        <v>2022</v>
      </c>
      <c r="G563">
        <v>52.92</v>
      </c>
      <c r="H563">
        <v>0.64590000000000003</v>
      </c>
      <c r="I563">
        <v>3418.1028000000006</v>
      </c>
      <c r="J563" t="s">
        <v>372</v>
      </c>
    </row>
    <row r="564" spans="1:10" x14ac:dyDescent="0.35">
      <c r="A564" t="s">
        <v>948</v>
      </c>
      <c r="B564" t="s">
        <v>18</v>
      </c>
      <c r="C564" t="s">
        <v>374</v>
      </c>
      <c r="D564">
        <v>5</v>
      </c>
      <c r="E564" t="s">
        <v>417</v>
      </c>
      <c r="F564">
        <v>2022</v>
      </c>
      <c r="G564">
        <v>330.37</v>
      </c>
      <c r="H564">
        <v>0.76949999999999996</v>
      </c>
      <c r="I564">
        <v>25421.9715</v>
      </c>
      <c r="J564" t="s">
        <v>372</v>
      </c>
    </row>
    <row r="565" spans="1:10" x14ac:dyDescent="0.35">
      <c r="A565" t="s">
        <v>949</v>
      </c>
      <c r="B565" t="s">
        <v>123</v>
      </c>
      <c r="C565" t="s">
        <v>370</v>
      </c>
      <c r="D565">
        <v>7</v>
      </c>
      <c r="E565" t="s">
        <v>375</v>
      </c>
      <c r="F565">
        <v>2022</v>
      </c>
      <c r="G565">
        <v>495.88</v>
      </c>
      <c r="H565">
        <v>0.35010000000000002</v>
      </c>
      <c r="I565">
        <v>17360.758800000003</v>
      </c>
      <c r="J565" t="s">
        <v>372</v>
      </c>
    </row>
    <row r="566" spans="1:10" x14ac:dyDescent="0.35">
      <c r="A566" t="s">
        <v>950</v>
      </c>
      <c r="B566" t="s">
        <v>145</v>
      </c>
      <c r="C566" t="s">
        <v>384</v>
      </c>
      <c r="D566">
        <v>3</v>
      </c>
      <c r="E566" t="s">
        <v>391</v>
      </c>
      <c r="F566">
        <v>2023</v>
      </c>
      <c r="G566">
        <v>76.39</v>
      </c>
      <c r="H566">
        <v>0.2225</v>
      </c>
      <c r="I566">
        <v>1699.6775</v>
      </c>
      <c r="J566" t="s">
        <v>372</v>
      </c>
    </row>
    <row r="567" spans="1:10" x14ac:dyDescent="0.35">
      <c r="A567" t="s">
        <v>951</v>
      </c>
      <c r="B567" t="s">
        <v>306</v>
      </c>
      <c r="C567" t="s">
        <v>370</v>
      </c>
      <c r="D567">
        <v>9</v>
      </c>
      <c r="E567" t="s">
        <v>403</v>
      </c>
      <c r="F567">
        <v>2024</v>
      </c>
      <c r="G567">
        <v>421.55</v>
      </c>
      <c r="H567">
        <v>0.46650000000000003</v>
      </c>
      <c r="I567">
        <v>19665.307500000003</v>
      </c>
      <c r="J567" t="s">
        <v>372</v>
      </c>
    </row>
    <row r="568" spans="1:10" x14ac:dyDescent="0.35">
      <c r="A568" t="s">
        <v>952</v>
      </c>
      <c r="B568" t="s">
        <v>328</v>
      </c>
      <c r="C568" t="s">
        <v>374</v>
      </c>
      <c r="D568">
        <v>9</v>
      </c>
      <c r="E568" t="s">
        <v>403</v>
      </c>
      <c r="F568">
        <v>2022</v>
      </c>
      <c r="G568">
        <v>58.56</v>
      </c>
      <c r="H568">
        <v>0.53359999999999996</v>
      </c>
      <c r="I568">
        <v>3124.7616000000003</v>
      </c>
      <c r="J568" t="s">
        <v>372</v>
      </c>
    </row>
    <row r="569" spans="1:10" x14ac:dyDescent="0.35">
      <c r="A569" t="s">
        <v>953</v>
      </c>
      <c r="B569" t="s">
        <v>210</v>
      </c>
      <c r="C569" t="s">
        <v>384</v>
      </c>
      <c r="D569">
        <v>9</v>
      </c>
      <c r="E569" t="s">
        <v>403</v>
      </c>
      <c r="F569">
        <v>2024</v>
      </c>
      <c r="G569">
        <v>204.06</v>
      </c>
      <c r="H569">
        <v>0.52669999999999995</v>
      </c>
      <c r="I569">
        <v>10747.840199999999</v>
      </c>
      <c r="J569" t="s">
        <v>372</v>
      </c>
    </row>
    <row r="570" spans="1:10" x14ac:dyDescent="0.35">
      <c r="A570" t="s">
        <v>954</v>
      </c>
      <c r="B570" t="s">
        <v>166</v>
      </c>
      <c r="C570" t="s">
        <v>384</v>
      </c>
      <c r="D570">
        <v>5</v>
      </c>
      <c r="E570" t="s">
        <v>417</v>
      </c>
      <c r="F570">
        <v>2022</v>
      </c>
      <c r="G570">
        <v>58.81</v>
      </c>
      <c r="H570">
        <v>0.1396</v>
      </c>
      <c r="I570">
        <v>820.98760000000016</v>
      </c>
      <c r="J570" t="s">
        <v>372</v>
      </c>
    </row>
    <row r="571" spans="1:10" x14ac:dyDescent="0.35">
      <c r="A571" t="s">
        <v>955</v>
      </c>
      <c r="B571" t="s">
        <v>268</v>
      </c>
      <c r="C571" t="s">
        <v>370</v>
      </c>
      <c r="D571">
        <v>9</v>
      </c>
      <c r="E571" t="s">
        <v>403</v>
      </c>
      <c r="F571">
        <v>2022</v>
      </c>
      <c r="G571">
        <v>381.28</v>
      </c>
      <c r="H571">
        <v>0.39329999999999998</v>
      </c>
      <c r="I571">
        <v>14995.742399999997</v>
      </c>
      <c r="J571" t="s">
        <v>372</v>
      </c>
    </row>
    <row r="572" spans="1:10" x14ac:dyDescent="0.35">
      <c r="A572" t="s">
        <v>956</v>
      </c>
      <c r="B572" t="s">
        <v>249</v>
      </c>
      <c r="C572" t="s">
        <v>384</v>
      </c>
      <c r="D572">
        <v>7</v>
      </c>
      <c r="E572" t="s">
        <v>375</v>
      </c>
      <c r="F572">
        <v>2023</v>
      </c>
      <c r="G572">
        <v>17.350000000000001</v>
      </c>
      <c r="H572">
        <v>0.59050000000000002</v>
      </c>
      <c r="I572">
        <v>1024.5175000000002</v>
      </c>
      <c r="J572" t="s">
        <v>372</v>
      </c>
    </row>
    <row r="573" spans="1:10" x14ac:dyDescent="0.35">
      <c r="A573" t="s">
        <v>957</v>
      </c>
      <c r="B573" t="s">
        <v>92</v>
      </c>
      <c r="C573" t="s">
        <v>384</v>
      </c>
      <c r="D573">
        <v>2</v>
      </c>
      <c r="E573" t="s">
        <v>389</v>
      </c>
      <c r="F573">
        <v>2024</v>
      </c>
      <c r="G573">
        <v>227.47</v>
      </c>
      <c r="H573">
        <v>0.14169999999999999</v>
      </c>
      <c r="I573">
        <v>3223.2498999999998</v>
      </c>
      <c r="J573" t="s">
        <v>372</v>
      </c>
    </row>
    <row r="574" spans="1:10" x14ac:dyDescent="0.35">
      <c r="A574" t="s">
        <v>958</v>
      </c>
      <c r="B574" t="s">
        <v>156</v>
      </c>
      <c r="C574" t="s">
        <v>374</v>
      </c>
      <c r="D574">
        <v>4</v>
      </c>
      <c r="E574" t="s">
        <v>394</v>
      </c>
      <c r="F574">
        <v>2023</v>
      </c>
      <c r="G574">
        <v>455.98</v>
      </c>
      <c r="H574">
        <v>0.65720000000000001</v>
      </c>
      <c r="I574">
        <v>29967.0056</v>
      </c>
      <c r="J574" t="s">
        <v>372</v>
      </c>
    </row>
    <row r="575" spans="1:10" x14ac:dyDescent="0.35">
      <c r="A575" t="s">
        <v>959</v>
      </c>
      <c r="B575" t="s">
        <v>233</v>
      </c>
      <c r="C575" t="s">
        <v>384</v>
      </c>
      <c r="D575">
        <v>7</v>
      </c>
      <c r="E575" t="s">
        <v>375</v>
      </c>
      <c r="F575">
        <v>2022</v>
      </c>
      <c r="G575">
        <v>233.54</v>
      </c>
      <c r="H575">
        <v>0.37719999999999998</v>
      </c>
      <c r="I575">
        <v>8809.1287999999986</v>
      </c>
      <c r="J575" t="s">
        <v>372</v>
      </c>
    </row>
    <row r="576" spans="1:10" x14ac:dyDescent="0.35">
      <c r="A576" t="s">
        <v>960</v>
      </c>
      <c r="B576" t="s">
        <v>327</v>
      </c>
      <c r="C576" t="s">
        <v>374</v>
      </c>
      <c r="D576">
        <v>6</v>
      </c>
      <c r="E576" t="s">
        <v>379</v>
      </c>
      <c r="F576">
        <v>2022</v>
      </c>
      <c r="G576">
        <v>232.1</v>
      </c>
      <c r="H576">
        <v>0.1205</v>
      </c>
      <c r="I576">
        <v>2796.8049999999998</v>
      </c>
      <c r="J576" t="s">
        <v>372</v>
      </c>
    </row>
    <row r="577" spans="1:10" x14ac:dyDescent="0.35">
      <c r="A577" t="s">
        <v>961</v>
      </c>
      <c r="B577" t="s">
        <v>211</v>
      </c>
      <c r="C577" t="s">
        <v>374</v>
      </c>
      <c r="D577">
        <v>2</v>
      </c>
      <c r="E577" t="s">
        <v>389</v>
      </c>
      <c r="F577">
        <v>2023</v>
      </c>
      <c r="G577">
        <v>66.44</v>
      </c>
      <c r="H577">
        <v>0.77129999999999999</v>
      </c>
      <c r="I577">
        <v>5124.5171999999993</v>
      </c>
      <c r="J577" t="s">
        <v>372</v>
      </c>
    </row>
    <row r="578" spans="1:10" x14ac:dyDescent="0.35">
      <c r="A578" t="s">
        <v>962</v>
      </c>
      <c r="B578" t="s">
        <v>111</v>
      </c>
      <c r="C578" t="s">
        <v>370</v>
      </c>
      <c r="D578">
        <v>4</v>
      </c>
      <c r="E578" t="s">
        <v>394</v>
      </c>
      <c r="F578">
        <v>2024</v>
      </c>
      <c r="G578">
        <v>462.83</v>
      </c>
      <c r="H578">
        <v>0.16719999999999999</v>
      </c>
      <c r="I578">
        <v>7738.5175999999983</v>
      </c>
      <c r="J578" t="s">
        <v>372</v>
      </c>
    </row>
    <row r="579" spans="1:10" x14ac:dyDescent="0.35">
      <c r="A579" t="s">
        <v>963</v>
      </c>
      <c r="B579" t="s">
        <v>141</v>
      </c>
      <c r="C579" t="s">
        <v>370</v>
      </c>
      <c r="D579">
        <v>10</v>
      </c>
      <c r="E579" t="s">
        <v>387</v>
      </c>
      <c r="F579">
        <v>2024</v>
      </c>
      <c r="G579">
        <v>271.97000000000003</v>
      </c>
      <c r="H579">
        <v>0.68869999999999998</v>
      </c>
      <c r="I579">
        <v>18730.573900000003</v>
      </c>
      <c r="J579" t="s">
        <v>372</v>
      </c>
    </row>
    <row r="580" spans="1:10" x14ac:dyDescent="0.35">
      <c r="A580" t="s">
        <v>964</v>
      </c>
      <c r="B580" t="s">
        <v>196</v>
      </c>
      <c r="C580" t="s">
        <v>370</v>
      </c>
      <c r="D580">
        <v>9</v>
      </c>
      <c r="E580" t="s">
        <v>403</v>
      </c>
      <c r="F580">
        <v>2024</v>
      </c>
      <c r="G580">
        <v>76.95</v>
      </c>
      <c r="H580">
        <v>0.18279999999999999</v>
      </c>
      <c r="I580">
        <v>1406.646</v>
      </c>
      <c r="J580" t="s">
        <v>372</v>
      </c>
    </row>
    <row r="581" spans="1:10" x14ac:dyDescent="0.35">
      <c r="A581" t="s">
        <v>965</v>
      </c>
      <c r="B581" t="s">
        <v>138</v>
      </c>
      <c r="C581" t="s">
        <v>370</v>
      </c>
      <c r="D581">
        <v>9</v>
      </c>
      <c r="E581" t="s">
        <v>403</v>
      </c>
      <c r="F581">
        <v>2024</v>
      </c>
      <c r="G581">
        <v>325.89999999999998</v>
      </c>
      <c r="H581">
        <v>0.31859999999999999</v>
      </c>
      <c r="I581">
        <v>10383.173999999999</v>
      </c>
      <c r="J581" t="s">
        <v>372</v>
      </c>
    </row>
    <row r="582" spans="1:10" x14ac:dyDescent="0.35">
      <c r="A582" t="s">
        <v>966</v>
      </c>
      <c r="B582" t="s">
        <v>92</v>
      </c>
      <c r="C582" t="s">
        <v>374</v>
      </c>
      <c r="D582">
        <v>8</v>
      </c>
      <c r="E582" t="s">
        <v>377</v>
      </c>
      <c r="F582">
        <v>2023</v>
      </c>
      <c r="G582">
        <v>345.63</v>
      </c>
      <c r="H582">
        <v>0.19850000000000001</v>
      </c>
      <c r="I582">
        <v>6860.7555000000002</v>
      </c>
      <c r="J582" t="s">
        <v>372</v>
      </c>
    </row>
    <row r="583" spans="1:10" x14ac:dyDescent="0.35">
      <c r="A583" t="s">
        <v>967</v>
      </c>
      <c r="B583" t="s">
        <v>111</v>
      </c>
      <c r="C583" t="s">
        <v>374</v>
      </c>
      <c r="D583">
        <v>2</v>
      </c>
      <c r="E583" t="s">
        <v>389</v>
      </c>
      <c r="F583">
        <v>2024</v>
      </c>
      <c r="G583">
        <v>458.35</v>
      </c>
      <c r="H583">
        <v>0.36109999999999998</v>
      </c>
      <c r="I583">
        <v>16551.018500000002</v>
      </c>
      <c r="J583" t="s">
        <v>372</v>
      </c>
    </row>
    <row r="584" spans="1:10" x14ac:dyDescent="0.35">
      <c r="A584" t="s">
        <v>968</v>
      </c>
      <c r="B584" t="s">
        <v>348</v>
      </c>
      <c r="C584" t="s">
        <v>370</v>
      </c>
      <c r="D584">
        <v>10</v>
      </c>
      <c r="E584" t="s">
        <v>387</v>
      </c>
      <c r="F584">
        <v>2023</v>
      </c>
      <c r="G584">
        <v>421.3</v>
      </c>
      <c r="H584">
        <v>0.52110000000000001</v>
      </c>
      <c r="I584">
        <v>21953.942999999999</v>
      </c>
      <c r="J584" t="s">
        <v>372</v>
      </c>
    </row>
    <row r="585" spans="1:10" x14ac:dyDescent="0.35">
      <c r="A585" t="s">
        <v>969</v>
      </c>
      <c r="B585" t="s">
        <v>343</v>
      </c>
      <c r="C585" t="s">
        <v>374</v>
      </c>
      <c r="D585">
        <v>12</v>
      </c>
      <c r="E585" t="s">
        <v>487</v>
      </c>
      <c r="F585">
        <v>2023</v>
      </c>
      <c r="G585">
        <v>254.66</v>
      </c>
      <c r="H585">
        <v>0.57499999999999996</v>
      </c>
      <c r="I585">
        <v>14642.949999999999</v>
      </c>
      <c r="J585" t="s">
        <v>372</v>
      </c>
    </row>
    <row r="586" spans="1:10" x14ac:dyDescent="0.35">
      <c r="A586" t="s">
        <v>970</v>
      </c>
      <c r="B586" t="s">
        <v>321</v>
      </c>
      <c r="C586" t="s">
        <v>370</v>
      </c>
      <c r="D586">
        <v>1</v>
      </c>
      <c r="E586" t="s">
        <v>381</v>
      </c>
      <c r="F586">
        <v>2024</v>
      </c>
      <c r="G586">
        <v>179.92</v>
      </c>
      <c r="H586">
        <v>0.73199999999999998</v>
      </c>
      <c r="I586">
        <v>13170.143999999998</v>
      </c>
      <c r="J586" t="s">
        <v>372</v>
      </c>
    </row>
    <row r="587" spans="1:10" x14ac:dyDescent="0.35">
      <c r="A587" t="s">
        <v>971</v>
      </c>
      <c r="B587" t="s">
        <v>305</v>
      </c>
      <c r="C587" t="s">
        <v>370</v>
      </c>
      <c r="D587">
        <v>3</v>
      </c>
      <c r="E587" t="s">
        <v>391</v>
      </c>
      <c r="F587">
        <v>2022</v>
      </c>
      <c r="G587">
        <v>363.18</v>
      </c>
      <c r="H587">
        <v>0.22520000000000001</v>
      </c>
      <c r="I587">
        <v>8178.8136000000013</v>
      </c>
      <c r="J587" t="s">
        <v>372</v>
      </c>
    </row>
    <row r="588" spans="1:10" x14ac:dyDescent="0.35">
      <c r="A588" t="s">
        <v>972</v>
      </c>
      <c r="B588" t="s">
        <v>285</v>
      </c>
      <c r="C588" t="s">
        <v>370</v>
      </c>
      <c r="D588">
        <v>9</v>
      </c>
      <c r="E588" t="s">
        <v>403</v>
      </c>
      <c r="F588">
        <v>2024</v>
      </c>
      <c r="G588">
        <v>276.73</v>
      </c>
      <c r="H588">
        <v>0.23039999999999999</v>
      </c>
      <c r="I588">
        <v>6375.8591999999999</v>
      </c>
      <c r="J588" t="s">
        <v>372</v>
      </c>
    </row>
    <row r="589" spans="1:10" x14ac:dyDescent="0.35">
      <c r="A589" t="s">
        <v>973</v>
      </c>
      <c r="B589" t="s">
        <v>49</v>
      </c>
      <c r="C589" t="s">
        <v>374</v>
      </c>
      <c r="D589">
        <v>11</v>
      </c>
      <c r="E589" t="s">
        <v>371</v>
      </c>
      <c r="F589">
        <v>2022</v>
      </c>
      <c r="G589">
        <v>374.68</v>
      </c>
      <c r="H589">
        <v>0.64439999999999997</v>
      </c>
      <c r="I589">
        <v>24144.379199999999</v>
      </c>
      <c r="J589" t="s">
        <v>372</v>
      </c>
    </row>
    <row r="590" spans="1:10" x14ac:dyDescent="0.35">
      <c r="A590" t="s">
        <v>974</v>
      </c>
      <c r="B590" t="s">
        <v>356</v>
      </c>
      <c r="C590" t="s">
        <v>370</v>
      </c>
      <c r="D590">
        <v>1</v>
      </c>
      <c r="E590" t="s">
        <v>381</v>
      </c>
      <c r="F590">
        <v>2023</v>
      </c>
      <c r="G590">
        <v>496.77</v>
      </c>
      <c r="H590">
        <v>0.32640000000000002</v>
      </c>
      <c r="I590">
        <v>16214.572800000002</v>
      </c>
      <c r="J590" t="s">
        <v>372</v>
      </c>
    </row>
    <row r="591" spans="1:10" x14ac:dyDescent="0.35">
      <c r="A591" t="s">
        <v>975</v>
      </c>
      <c r="B591" t="s">
        <v>305</v>
      </c>
      <c r="C591" t="s">
        <v>384</v>
      </c>
      <c r="D591">
        <v>8</v>
      </c>
      <c r="E591" t="s">
        <v>377</v>
      </c>
      <c r="F591">
        <v>2023</v>
      </c>
      <c r="G591">
        <v>322.24</v>
      </c>
      <c r="H591">
        <v>0.39579999999999999</v>
      </c>
      <c r="I591">
        <v>12754.2592</v>
      </c>
      <c r="J591" t="s">
        <v>372</v>
      </c>
    </row>
    <row r="592" spans="1:10" x14ac:dyDescent="0.35">
      <c r="A592" t="s">
        <v>976</v>
      </c>
      <c r="B592" t="s">
        <v>93</v>
      </c>
      <c r="C592" t="s">
        <v>374</v>
      </c>
      <c r="D592">
        <v>3</v>
      </c>
      <c r="E592" t="s">
        <v>391</v>
      </c>
      <c r="F592">
        <v>2023</v>
      </c>
      <c r="G592">
        <v>238.57</v>
      </c>
      <c r="H592">
        <v>0.30059999999999998</v>
      </c>
      <c r="I592">
        <v>7171.4141999999993</v>
      </c>
      <c r="J592" t="s">
        <v>372</v>
      </c>
    </row>
    <row r="593" spans="1:10" x14ac:dyDescent="0.35">
      <c r="A593" t="s">
        <v>977</v>
      </c>
      <c r="B593" t="s">
        <v>241</v>
      </c>
      <c r="C593" t="s">
        <v>374</v>
      </c>
      <c r="D593">
        <v>8</v>
      </c>
      <c r="E593" t="s">
        <v>377</v>
      </c>
      <c r="F593">
        <v>2024</v>
      </c>
      <c r="G593">
        <v>21</v>
      </c>
      <c r="H593">
        <v>0.13239999999999999</v>
      </c>
      <c r="I593">
        <v>278.03999999999996</v>
      </c>
      <c r="J593" t="s">
        <v>372</v>
      </c>
    </row>
    <row r="594" spans="1:10" x14ac:dyDescent="0.35">
      <c r="A594" t="s">
        <v>978</v>
      </c>
      <c r="B594" t="s">
        <v>356</v>
      </c>
      <c r="C594" t="s">
        <v>374</v>
      </c>
      <c r="D594">
        <v>8</v>
      </c>
      <c r="E594" t="s">
        <v>377</v>
      </c>
      <c r="F594">
        <v>2022</v>
      </c>
      <c r="G594">
        <v>48.15</v>
      </c>
      <c r="H594">
        <v>0.39290000000000003</v>
      </c>
      <c r="I594">
        <v>1891.8135</v>
      </c>
      <c r="J594" t="s">
        <v>372</v>
      </c>
    </row>
    <row r="595" spans="1:10" x14ac:dyDescent="0.35">
      <c r="A595" t="s">
        <v>979</v>
      </c>
      <c r="B595" t="s">
        <v>295</v>
      </c>
      <c r="C595" t="s">
        <v>370</v>
      </c>
      <c r="D595">
        <v>11</v>
      </c>
      <c r="E595" t="s">
        <v>371</v>
      </c>
      <c r="F595">
        <v>2022</v>
      </c>
      <c r="G595">
        <v>166.47</v>
      </c>
      <c r="H595">
        <v>0.52370000000000005</v>
      </c>
      <c r="I595">
        <v>8718.0339000000004</v>
      </c>
      <c r="J595" t="s">
        <v>372</v>
      </c>
    </row>
    <row r="596" spans="1:10" x14ac:dyDescent="0.35">
      <c r="A596" t="s">
        <v>980</v>
      </c>
      <c r="B596" t="s">
        <v>125</v>
      </c>
      <c r="C596" t="s">
        <v>384</v>
      </c>
      <c r="D596">
        <v>10</v>
      </c>
      <c r="E596" t="s">
        <v>387</v>
      </c>
      <c r="F596">
        <v>2022</v>
      </c>
      <c r="G596">
        <v>276.32</v>
      </c>
      <c r="H596">
        <v>0.1043</v>
      </c>
      <c r="I596">
        <v>2882.0176000000001</v>
      </c>
      <c r="J596" t="s">
        <v>372</v>
      </c>
    </row>
    <row r="597" spans="1:10" x14ac:dyDescent="0.35">
      <c r="A597" t="s">
        <v>981</v>
      </c>
      <c r="B597" t="s">
        <v>160</v>
      </c>
      <c r="C597" t="s">
        <v>384</v>
      </c>
      <c r="D597">
        <v>4</v>
      </c>
      <c r="E597" t="s">
        <v>394</v>
      </c>
      <c r="F597">
        <v>2022</v>
      </c>
      <c r="G597">
        <v>241.86</v>
      </c>
      <c r="H597">
        <v>0.1404</v>
      </c>
      <c r="I597">
        <v>3395.7143999999998</v>
      </c>
      <c r="J597" t="s">
        <v>372</v>
      </c>
    </row>
    <row r="598" spans="1:10" x14ac:dyDescent="0.35">
      <c r="A598" t="s">
        <v>982</v>
      </c>
      <c r="B598" t="s">
        <v>251</v>
      </c>
      <c r="C598" t="s">
        <v>374</v>
      </c>
      <c r="D598">
        <v>11</v>
      </c>
      <c r="E598" t="s">
        <v>371</v>
      </c>
      <c r="F598">
        <v>2024</v>
      </c>
      <c r="G598">
        <v>25.32</v>
      </c>
      <c r="H598">
        <v>0.18029999999999999</v>
      </c>
      <c r="I598">
        <v>456.51959999999991</v>
      </c>
      <c r="J598" t="s">
        <v>372</v>
      </c>
    </row>
    <row r="599" spans="1:10" x14ac:dyDescent="0.35">
      <c r="A599" t="s">
        <v>983</v>
      </c>
      <c r="B599" t="s">
        <v>229</v>
      </c>
      <c r="C599" t="s">
        <v>374</v>
      </c>
      <c r="D599">
        <v>4</v>
      </c>
      <c r="E599" t="s">
        <v>394</v>
      </c>
      <c r="F599">
        <v>2024</v>
      </c>
      <c r="G599">
        <v>221.79</v>
      </c>
      <c r="H599">
        <v>0.38569999999999999</v>
      </c>
      <c r="I599">
        <v>8554.4402999999984</v>
      </c>
      <c r="J599" t="s">
        <v>372</v>
      </c>
    </row>
    <row r="600" spans="1:10" x14ac:dyDescent="0.35">
      <c r="A600" t="s">
        <v>984</v>
      </c>
      <c r="B600" t="s">
        <v>211</v>
      </c>
      <c r="C600" t="s">
        <v>370</v>
      </c>
      <c r="D600">
        <v>5</v>
      </c>
      <c r="E600" t="s">
        <v>417</v>
      </c>
      <c r="F600">
        <v>2022</v>
      </c>
      <c r="G600">
        <v>474.27</v>
      </c>
      <c r="H600">
        <v>0.48920000000000002</v>
      </c>
      <c r="I600">
        <v>23201.288400000001</v>
      </c>
      <c r="J600" t="s">
        <v>372</v>
      </c>
    </row>
    <row r="601" spans="1:10" x14ac:dyDescent="0.35">
      <c r="A601" t="s">
        <v>985</v>
      </c>
      <c r="B601" t="s">
        <v>299</v>
      </c>
      <c r="C601" t="s">
        <v>384</v>
      </c>
      <c r="D601">
        <v>7</v>
      </c>
      <c r="E601" t="s">
        <v>375</v>
      </c>
      <c r="F601">
        <v>2024</v>
      </c>
      <c r="G601">
        <v>127.28</v>
      </c>
      <c r="H601">
        <v>0.38940000000000002</v>
      </c>
      <c r="I601">
        <v>4956.2831999999999</v>
      </c>
      <c r="J601" t="s">
        <v>372</v>
      </c>
    </row>
    <row r="602" spans="1:10" x14ac:dyDescent="0.35">
      <c r="A602" t="s">
        <v>986</v>
      </c>
      <c r="B602" t="s">
        <v>97</v>
      </c>
      <c r="C602" t="s">
        <v>384</v>
      </c>
      <c r="D602">
        <v>7</v>
      </c>
      <c r="E602" t="s">
        <v>375</v>
      </c>
      <c r="F602">
        <v>2023</v>
      </c>
      <c r="G602">
        <v>244.85</v>
      </c>
      <c r="H602">
        <v>0.59889999999999999</v>
      </c>
      <c r="I602">
        <v>14664.066499999999</v>
      </c>
      <c r="J602" t="s">
        <v>372</v>
      </c>
    </row>
    <row r="603" spans="1:10" x14ac:dyDescent="0.35">
      <c r="A603" t="s">
        <v>987</v>
      </c>
      <c r="B603" t="s">
        <v>227</v>
      </c>
      <c r="C603" t="s">
        <v>374</v>
      </c>
      <c r="D603">
        <v>12</v>
      </c>
      <c r="E603" t="s">
        <v>487</v>
      </c>
      <c r="F603">
        <v>2022</v>
      </c>
      <c r="G603">
        <v>167.13</v>
      </c>
      <c r="H603">
        <v>0.32629999999999998</v>
      </c>
      <c r="I603">
        <v>5453.4519</v>
      </c>
      <c r="J603" t="s">
        <v>372</v>
      </c>
    </row>
    <row r="604" spans="1:10" x14ac:dyDescent="0.35">
      <c r="A604" t="s">
        <v>988</v>
      </c>
      <c r="B604" t="s">
        <v>328</v>
      </c>
      <c r="C604" t="s">
        <v>374</v>
      </c>
      <c r="D604">
        <v>10</v>
      </c>
      <c r="E604" t="s">
        <v>387</v>
      </c>
      <c r="F604">
        <v>2022</v>
      </c>
      <c r="G604">
        <v>405.91</v>
      </c>
      <c r="H604">
        <v>0.76270000000000004</v>
      </c>
      <c r="I604">
        <v>30958.755700000005</v>
      </c>
      <c r="J604" t="s">
        <v>372</v>
      </c>
    </row>
    <row r="605" spans="1:10" x14ac:dyDescent="0.35">
      <c r="A605" t="s">
        <v>989</v>
      </c>
      <c r="B605" t="s">
        <v>210</v>
      </c>
      <c r="C605" t="s">
        <v>384</v>
      </c>
      <c r="D605">
        <v>10</v>
      </c>
      <c r="E605" t="s">
        <v>387</v>
      </c>
      <c r="F605">
        <v>2022</v>
      </c>
      <c r="G605">
        <v>398.52</v>
      </c>
      <c r="H605">
        <v>0.22969999999999999</v>
      </c>
      <c r="I605">
        <v>9154.0043999999998</v>
      </c>
      <c r="J605" t="s">
        <v>372</v>
      </c>
    </row>
    <row r="606" spans="1:10" x14ac:dyDescent="0.35">
      <c r="A606" t="s">
        <v>990</v>
      </c>
      <c r="B606" t="s">
        <v>289</v>
      </c>
      <c r="C606" t="s">
        <v>374</v>
      </c>
      <c r="D606">
        <v>1</v>
      </c>
      <c r="E606" t="s">
        <v>381</v>
      </c>
      <c r="F606">
        <v>2023</v>
      </c>
      <c r="G606">
        <v>37.340000000000003</v>
      </c>
      <c r="H606">
        <v>0.13919999999999999</v>
      </c>
      <c r="I606">
        <v>519.77279999999996</v>
      </c>
      <c r="J606" t="s">
        <v>372</v>
      </c>
    </row>
    <row r="607" spans="1:10" x14ac:dyDescent="0.35">
      <c r="A607" t="s">
        <v>991</v>
      </c>
      <c r="B607" t="s">
        <v>101</v>
      </c>
      <c r="C607" t="s">
        <v>374</v>
      </c>
      <c r="D607">
        <v>7</v>
      </c>
      <c r="E607" t="s">
        <v>375</v>
      </c>
      <c r="F607">
        <v>2023</v>
      </c>
      <c r="G607">
        <v>206.29</v>
      </c>
      <c r="H607">
        <v>0.438</v>
      </c>
      <c r="I607">
        <v>9035.5020000000004</v>
      </c>
      <c r="J607" t="s">
        <v>372</v>
      </c>
    </row>
    <row r="608" spans="1:10" x14ac:dyDescent="0.35">
      <c r="A608" t="s">
        <v>992</v>
      </c>
      <c r="B608" t="s">
        <v>317</v>
      </c>
      <c r="C608" t="s">
        <v>374</v>
      </c>
      <c r="D608">
        <v>11</v>
      </c>
      <c r="E608" t="s">
        <v>371</v>
      </c>
      <c r="F608">
        <v>2023</v>
      </c>
      <c r="G608">
        <v>271.93</v>
      </c>
      <c r="H608">
        <v>0.64410000000000001</v>
      </c>
      <c r="I608">
        <v>17515.011300000002</v>
      </c>
      <c r="J608" t="s">
        <v>372</v>
      </c>
    </row>
    <row r="609" spans="1:10" x14ac:dyDescent="0.35">
      <c r="A609" t="s">
        <v>993</v>
      </c>
      <c r="B609" t="s">
        <v>306</v>
      </c>
      <c r="C609" t="s">
        <v>374</v>
      </c>
      <c r="D609">
        <v>8</v>
      </c>
      <c r="E609" t="s">
        <v>377</v>
      </c>
      <c r="F609">
        <v>2024</v>
      </c>
      <c r="G609">
        <v>74.930000000000007</v>
      </c>
      <c r="H609">
        <v>0.64480000000000004</v>
      </c>
      <c r="I609">
        <v>4831.4864000000007</v>
      </c>
      <c r="J609" t="s">
        <v>372</v>
      </c>
    </row>
    <row r="610" spans="1:10" x14ac:dyDescent="0.35">
      <c r="A610" t="s">
        <v>994</v>
      </c>
      <c r="B610" t="s">
        <v>43</v>
      </c>
      <c r="C610" t="s">
        <v>374</v>
      </c>
      <c r="D610">
        <v>5</v>
      </c>
      <c r="E610" t="s">
        <v>417</v>
      </c>
      <c r="F610">
        <v>2024</v>
      </c>
      <c r="G610">
        <v>279.99</v>
      </c>
      <c r="H610">
        <v>0.78800000000000003</v>
      </c>
      <c r="I610">
        <v>22063.212000000003</v>
      </c>
      <c r="J610" t="s">
        <v>372</v>
      </c>
    </row>
    <row r="611" spans="1:10" x14ac:dyDescent="0.35">
      <c r="A611" t="s">
        <v>995</v>
      </c>
      <c r="B611" t="s">
        <v>314</v>
      </c>
      <c r="C611" t="s">
        <v>370</v>
      </c>
      <c r="D611">
        <v>3</v>
      </c>
      <c r="E611" t="s">
        <v>391</v>
      </c>
      <c r="F611">
        <v>2022</v>
      </c>
      <c r="G611">
        <v>88.79</v>
      </c>
      <c r="H611">
        <v>0.50149999999999995</v>
      </c>
      <c r="I611">
        <v>4452.8185000000003</v>
      </c>
      <c r="J611" t="s">
        <v>372</v>
      </c>
    </row>
    <row r="612" spans="1:10" x14ac:dyDescent="0.35">
      <c r="A612" t="s">
        <v>996</v>
      </c>
      <c r="B612" t="s">
        <v>317</v>
      </c>
      <c r="C612" t="s">
        <v>370</v>
      </c>
      <c r="D612">
        <v>8</v>
      </c>
      <c r="E612" t="s">
        <v>377</v>
      </c>
      <c r="F612">
        <v>2024</v>
      </c>
      <c r="G612">
        <v>21.07</v>
      </c>
      <c r="H612">
        <v>0.35730000000000001</v>
      </c>
      <c r="I612">
        <v>752.83109999999999</v>
      </c>
      <c r="J612" t="s">
        <v>372</v>
      </c>
    </row>
    <row r="613" spans="1:10" x14ac:dyDescent="0.35">
      <c r="A613" t="s">
        <v>997</v>
      </c>
      <c r="B613" t="s">
        <v>18</v>
      </c>
      <c r="C613" t="s">
        <v>384</v>
      </c>
      <c r="D613">
        <v>10</v>
      </c>
      <c r="E613" t="s">
        <v>387</v>
      </c>
      <c r="F613">
        <v>2023</v>
      </c>
      <c r="G613">
        <v>4.26</v>
      </c>
      <c r="H613">
        <v>0.46160000000000001</v>
      </c>
      <c r="I613">
        <v>196.64159999999998</v>
      </c>
      <c r="J613" t="s">
        <v>372</v>
      </c>
    </row>
    <row r="614" spans="1:10" x14ac:dyDescent="0.35">
      <c r="A614" t="s">
        <v>998</v>
      </c>
      <c r="B614" t="s">
        <v>37</v>
      </c>
      <c r="C614" t="s">
        <v>370</v>
      </c>
      <c r="D614">
        <v>11</v>
      </c>
      <c r="E614" t="s">
        <v>371</v>
      </c>
      <c r="F614">
        <v>2023</v>
      </c>
      <c r="G614">
        <v>0</v>
      </c>
      <c r="H614">
        <v>0.78180000000000005</v>
      </c>
      <c r="I614">
        <v>0</v>
      </c>
      <c r="J614" t="s">
        <v>423</v>
      </c>
    </row>
    <row r="615" spans="1:10" x14ac:dyDescent="0.35">
      <c r="A615" t="s">
        <v>999</v>
      </c>
      <c r="B615" t="s">
        <v>359</v>
      </c>
      <c r="C615" t="s">
        <v>384</v>
      </c>
      <c r="D615">
        <v>12</v>
      </c>
      <c r="E615" t="s">
        <v>487</v>
      </c>
      <c r="F615">
        <v>2024</v>
      </c>
      <c r="G615">
        <v>173.15</v>
      </c>
      <c r="H615">
        <v>0.81779999999999997</v>
      </c>
      <c r="I615">
        <v>14160.207</v>
      </c>
      <c r="J615" t="s">
        <v>372</v>
      </c>
    </row>
    <row r="616" spans="1:10" x14ac:dyDescent="0.35">
      <c r="A616" t="s">
        <v>1000</v>
      </c>
      <c r="B616" t="s">
        <v>270</v>
      </c>
      <c r="C616" t="s">
        <v>384</v>
      </c>
      <c r="D616">
        <v>10</v>
      </c>
      <c r="E616" t="s">
        <v>387</v>
      </c>
      <c r="F616">
        <v>2024</v>
      </c>
      <c r="G616">
        <v>235.7</v>
      </c>
      <c r="H616">
        <v>0.20849999999999999</v>
      </c>
      <c r="I616">
        <v>4914.3449999999993</v>
      </c>
      <c r="J616" t="s">
        <v>372</v>
      </c>
    </row>
    <row r="617" spans="1:10" x14ac:dyDescent="0.35">
      <c r="A617" t="s">
        <v>1001</v>
      </c>
      <c r="B617" t="s">
        <v>212</v>
      </c>
      <c r="C617" t="s">
        <v>384</v>
      </c>
      <c r="D617">
        <v>9</v>
      </c>
      <c r="E617" t="s">
        <v>403</v>
      </c>
      <c r="F617">
        <v>2022</v>
      </c>
      <c r="G617">
        <v>13.39</v>
      </c>
      <c r="H617">
        <v>0.67710000000000004</v>
      </c>
      <c r="I617">
        <v>906.6369000000002</v>
      </c>
      <c r="J617" t="s">
        <v>372</v>
      </c>
    </row>
    <row r="618" spans="1:10" x14ac:dyDescent="0.35">
      <c r="A618" t="s">
        <v>1002</v>
      </c>
      <c r="B618" t="s">
        <v>82</v>
      </c>
      <c r="C618" t="s">
        <v>384</v>
      </c>
      <c r="D618">
        <v>3</v>
      </c>
      <c r="E618" t="s">
        <v>391</v>
      </c>
      <c r="F618">
        <v>2023</v>
      </c>
      <c r="G618">
        <v>64.02</v>
      </c>
      <c r="H618">
        <v>0.52529999999999999</v>
      </c>
      <c r="I618">
        <v>3362.9705999999996</v>
      </c>
      <c r="J618" t="s">
        <v>372</v>
      </c>
    </row>
    <row r="619" spans="1:10" x14ac:dyDescent="0.35">
      <c r="A619" t="s">
        <v>1003</v>
      </c>
      <c r="B619" t="s">
        <v>185</v>
      </c>
      <c r="C619" t="s">
        <v>370</v>
      </c>
      <c r="D619">
        <v>10</v>
      </c>
      <c r="E619" t="s">
        <v>387</v>
      </c>
      <c r="F619">
        <v>2024</v>
      </c>
      <c r="G619">
        <v>454.37</v>
      </c>
      <c r="H619">
        <v>0.69779999999999998</v>
      </c>
      <c r="I619">
        <v>31705.938600000001</v>
      </c>
      <c r="J619" t="s">
        <v>372</v>
      </c>
    </row>
    <row r="620" spans="1:10" x14ac:dyDescent="0.35">
      <c r="A620" t="s">
        <v>1004</v>
      </c>
      <c r="B620" t="s">
        <v>179</v>
      </c>
      <c r="C620" t="s">
        <v>374</v>
      </c>
      <c r="D620">
        <v>4</v>
      </c>
      <c r="E620" t="s">
        <v>394</v>
      </c>
      <c r="F620">
        <v>2023</v>
      </c>
      <c r="G620">
        <v>31.53</v>
      </c>
      <c r="H620">
        <v>0.7641</v>
      </c>
      <c r="I620">
        <v>2409.2073</v>
      </c>
      <c r="J620" t="s">
        <v>372</v>
      </c>
    </row>
    <row r="621" spans="1:10" x14ac:dyDescent="0.35">
      <c r="A621" t="s">
        <v>1005</v>
      </c>
      <c r="B621" t="s">
        <v>78</v>
      </c>
      <c r="C621" t="s">
        <v>370</v>
      </c>
      <c r="D621">
        <v>3</v>
      </c>
      <c r="E621" t="s">
        <v>391</v>
      </c>
      <c r="F621">
        <v>2022</v>
      </c>
      <c r="G621">
        <v>433.6</v>
      </c>
      <c r="H621">
        <v>0.35549999999999998</v>
      </c>
      <c r="I621">
        <v>15414.48</v>
      </c>
      <c r="J621" t="s">
        <v>372</v>
      </c>
    </row>
    <row r="622" spans="1:10" x14ac:dyDescent="0.35">
      <c r="A622" t="s">
        <v>1006</v>
      </c>
      <c r="B622" t="s">
        <v>219</v>
      </c>
      <c r="C622" t="s">
        <v>370</v>
      </c>
      <c r="D622">
        <v>2</v>
      </c>
      <c r="E622" t="s">
        <v>389</v>
      </c>
      <c r="F622">
        <v>2023</v>
      </c>
      <c r="G622">
        <v>466.12</v>
      </c>
      <c r="H622">
        <v>0.84770000000000001</v>
      </c>
      <c r="I622">
        <v>39512.992400000003</v>
      </c>
      <c r="J622" t="s">
        <v>372</v>
      </c>
    </row>
    <row r="623" spans="1:10" x14ac:dyDescent="0.35">
      <c r="A623" t="s">
        <v>1007</v>
      </c>
      <c r="B623" t="s">
        <v>66</v>
      </c>
      <c r="C623" t="s">
        <v>374</v>
      </c>
      <c r="D623">
        <v>6</v>
      </c>
      <c r="E623" t="s">
        <v>379</v>
      </c>
      <c r="F623">
        <v>2024</v>
      </c>
      <c r="G623">
        <v>230.46</v>
      </c>
      <c r="H623">
        <v>0.37819999999999998</v>
      </c>
      <c r="I623">
        <v>8715.9971999999998</v>
      </c>
      <c r="J623" t="s">
        <v>372</v>
      </c>
    </row>
    <row r="624" spans="1:10" x14ac:dyDescent="0.35">
      <c r="A624" t="s">
        <v>1008</v>
      </c>
      <c r="B624" t="s">
        <v>154</v>
      </c>
      <c r="C624" t="s">
        <v>384</v>
      </c>
      <c r="D624">
        <v>11</v>
      </c>
      <c r="E624" t="s">
        <v>371</v>
      </c>
      <c r="F624">
        <v>2022</v>
      </c>
      <c r="G624">
        <v>150.44</v>
      </c>
      <c r="H624">
        <v>0.28789999999999999</v>
      </c>
      <c r="I624">
        <v>4331.1675999999998</v>
      </c>
      <c r="J624" t="s">
        <v>372</v>
      </c>
    </row>
    <row r="625" spans="1:10" x14ac:dyDescent="0.35">
      <c r="A625" t="s">
        <v>1009</v>
      </c>
      <c r="B625" t="s">
        <v>290</v>
      </c>
      <c r="C625" t="s">
        <v>374</v>
      </c>
      <c r="D625">
        <v>3</v>
      </c>
      <c r="E625" t="s">
        <v>391</v>
      </c>
      <c r="F625">
        <v>2024</v>
      </c>
      <c r="G625">
        <v>417.79</v>
      </c>
      <c r="H625">
        <v>0.32800000000000001</v>
      </c>
      <c r="I625">
        <v>13703.512000000001</v>
      </c>
      <c r="J625" t="s">
        <v>372</v>
      </c>
    </row>
    <row r="626" spans="1:10" x14ac:dyDescent="0.35">
      <c r="A626" t="s">
        <v>1010</v>
      </c>
      <c r="B626" t="s">
        <v>12</v>
      </c>
      <c r="C626" t="s">
        <v>374</v>
      </c>
      <c r="D626">
        <v>4</v>
      </c>
      <c r="E626" t="s">
        <v>394</v>
      </c>
      <c r="F626">
        <v>2024</v>
      </c>
      <c r="G626">
        <v>50.12</v>
      </c>
      <c r="H626">
        <v>0.43509999999999999</v>
      </c>
      <c r="I626">
        <v>2180.7212</v>
      </c>
      <c r="J626" t="s">
        <v>372</v>
      </c>
    </row>
    <row r="627" spans="1:10" x14ac:dyDescent="0.35">
      <c r="A627" t="s">
        <v>1011</v>
      </c>
      <c r="B627" t="s">
        <v>354</v>
      </c>
      <c r="C627" t="s">
        <v>384</v>
      </c>
      <c r="D627">
        <v>10</v>
      </c>
      <c r="E627" t="s">
        <v>387</v>
      </c>
      <c r="F627">
        <v>2022</v>
      </c>
      <c r="G627">
        <v>412.41</v>
      </c>
      <c r="H627">
        <v>0.106</v>
      </c>
      <c r="I627">
        <v>4371.5460000000003</v>
      </c>
      <c r="J627" t="s">
        <v>372</v>
      </c>
    </row>
    <row r="628" spans="1:10" x14ac:dyDescent="0.35">
      <c r="A628" t="s">
        <v>1012</v>
      </c>
      <c r="B628" t="s">
        <v>274</v>
      </c>
      <c r="C628" t="s">
        <v>370</v>
      </c>
      <c r="D628">
        <v>12</v>
      </c>
      <c r="E628" t="s">
        <v>487</v>
      </c>
      <c r="F628">
        <v>2024</v>
      </c>
      <c r="G628">
        <v>35.33</v>
      </c>
      <c r="H628">
        <v>0.7167</v>
      </c>
      <c r="I628">
        <v>2532.1010999999999</v>
      </c>
      <c r="J628" t="s">
        <v>372</v>
      </c>
    </row>
    <row r="629" spans="1:10" x14ac:dyDescent="0.35">
      <c r="A629" t="s">
        <v>1013</v>
      </c>
      <c r="B629" t="s">
        <v>305</v>
      </c>
      <c r="C629" t="s">
        <v>370</v>
      </c>
      <c r="D629">
        <v>11</v>
      </c>
      <c r="E629" t="s">
        <v>371</v>
      </c>
      <c r="F629">
        <v>2023</v>
      </c>
      <c r="G629">
        <v>275.81</v>
      </c>
      <c r="H629">
        <v>0.4924</v>
      </c>
      <c r="I629">
        <v>13580.884399999999</v>
      </c>
      <c r="J629" t="s">
        <v>372</v>
      </c>
    </row>
    <row r="630" spans="1:10" x14ac:dyDescent="0.35">
      <c r="A630" t="s">
        <v>1014</v>
      </c>
      <c r="B630" t="s">
        <v>32</v>
      </c>
      <c r="C630" t="s">
        <v>370</v>
      </c>
      <c r="D630">
        <v>2</v>
      </c>
      <c r="E630" t="s">
        <v>389</v>
      </c>
      <c r="F630">
        <v>2023</v>
      </c>
      <c r="G630">
        <v>341.69</v>
      </c>
      <c r="H630">
        <v>0.27239999999999998</v>
      </c>
      <c r="I630">
        <v>9307.6355999999996</v>
      </c>
      <c r="J630" t="s">
        <v>372</v>
      </c>
    </row>
    <row r="631" spans="1:10" x14ac:dyDescent="0.35">
      <c r="A631" t="s">
        <v>1015</v>
      </c>
      <c r="B631" t="s">
        <v>131</v>
      </c>
      <c r="C631" t="s">
        <v>384</v>
      </c>
      <c r="D631">
        <v>1</v>
      </c>
      <c r="E631" t="s">
        <v>381</v>
      </c>
      <c r="F631">
        <v>2023</v>
      </c>
      <c r="G631">
        <v>245.78</v>
      </c>
      <c r="H631">
        <v>0.33229999999999998</v>
      </c>
      <c r="I631">
        <v>8167.2693999999992</v>
      </c>
      <c r="J631" t="s">
        <v>372</v>
      </c>
    </row>
    <row r="632" spans="1:10" x14ac:dyDescent="0.35">
      <c r="A632" t="s">
        <v>1016</v>
      </c>
      <c r="B632" t="s">
        <v>289</v>
      </c>
      <c r="C632" t="s">
        <v>384</v>
      </c>
      <c r="D632">
        <v>8</v>
      </c>
      <c r="E632" t="s">
        <v>377</v>
      </c>
      <c r="F632">
        <v>2023</v>
      </c>
      <c r="G632">
        <v>124.53</v>
      </c>
      <c r="H632">
        <v>0.76459999999999995</v>
      </c>
      <c r="I632">
        <v>9521.5637999999999</v>
      </c>
      <c r="J632" t="s">
        <v>372</v>
      </c>
    </row>
    <row r="633" spans="1:10" x14ac:dyDescent="0.35">
      <c r="A633" t="s">
        <v>1017</v>
      </c>
      <c r="B633" t="s">
        <v>316</v>
      </c>
      <c r="C633" t="s">
        <v>384</v>
      </c>
      <c r="D633">
        <v>12</v>
      </c>
      <c r="E633" t="s">
        <v>487</v>
      </c>
      <c r="F633">
        <v>2024</v>
      </c>
      <c r="G633">
        <v>52.78</v>
      </c>
      <c r="H633">
        <v>0.39300000000000002</v>
      </c>
      <c r="I633">
        <v>2074.2540000000004</v>
      </c>
      <c r="J633" t="s">
        <v>372</v>
      </c>
    </row>
    <row r="634" spans="1:10" x14ac:dyDescent="0.35">
      <c r="A634" t="s">
        <v>1018</v>
      </c>
      <c r="B634" t="s">
        <v>117</v>
      </c>
      <c r="C634" t="s">
        <v>384</v>
      </c>
      <c r="D634">
        <v>1</v>
      </c>
      <c r="E634" t="s">
        <v>381</v>
      </c>
      <c r="F634">
        <v>2023</v>
      </c>
      <c r="G634">
        <v>465.12</v>
      </c>
      <c r="H634">
        <v>0.38100000000000001</v>
      </c>
      <c r="I634">
        <v>17721.072</v>
      </c>
      <c r="J634" t="s">
        <v>372</v>
      </c>
    </row>
    <row r="635" spans="1:10" x14ac:dyDescent="0.35">
      <c r="A635" t="s">
        <v>1019</v>
      </c>
      <c r="B635" t="s">
        <v>39</v>
      </c>
      <c r="C635" t="s">
        <v>370</v>
      </c>
      <c r="D635">
        <v>9</v>
      </c>
      <c r="E635" t="s">
        <v>403</v>
      </c>
      <c r="F635">
        <v>2022</v>
      </c>
      <c r="G635">
        <v>188.8</v>
      </c>
      <c r="H635">
        <v>0.77390000000000003</v>
      </c>
      <c r="I635">
        <v>14611.232000000002</v>
      </c>
      <c r="J635" t="s">
        <v>372</v>
      </c>
    </row>
    <row r="636" spans="1:10" x14ac:dyDescent="0.35">
      <c r="A636" t="s">
        <v>1020</v>
      </c>
      <c r="B636" t="s">
        <v>101</v>
      </c>
      <c r="C636" t="s">
        <v>370</v>
      </c>
      <c r="D636">
        <v>11</v>
      </c>
      <c r="E636" t="s">
        <v>371</v>
      </c>
      <c r="F636">
        <v>2022</v>
      </c>
      <c r="G636">
        <v>19.91</v>
      </c>
      <c r="H636">
        <v>0.248</v>
      </c>
      <c r="I636">
        <v>493.76800000000003</v>
      </c>
      <c r="J636" t="s">
        <v>372</v>
      </c>
    </row>
    <row r="637" spans="1:10" x14ac:dyDescent="0.35">
      <c r="A637" t="s">
        <v>1021</v>
      </c>
      <c r="B637" t="s">
        <v>161</v>
      </c>
      <c r="C637" t="s">
        <v>384</v>
      </c>
      <c r="D637">
        <v>11</v>
      </c>
      <c r="E637" t="s">
        <v>371</v>
      </c>
      <c r="F637">
        <v>2024</v>
      </c>
      <c r="G637">
        <v>364.55</v>
      </c>
      <c r="H637">
        <v>0.77859999999999996</v>
      </c>
      <c r="I637">
        <v>28383.862999999998</v>
      </c>
      <c r="J637" t="s">
        <v>372</v>
      </c>
    </row>
    <row r="638" spans="1:10" x14ac:dyDescent="0.35">
      <c r="A638" t="s">
        <v>1022</v>
      </c>
      <c r="B638" t="s">
        <v>15</v>
      </c>
      <c r="C638" t="s">
        <v>370</v>
      </c>
      <c r="D638">
        <v>5</v>
      </c>
      <c r="E638" t="s">
        <v>417</v>
      </c>
      <c r="F638">
        <v>2024</v>
      </c>
      <c r="G638">
        <v>34.880000000000003</v>
      </c>
      <c r="H638">
        <v>0.77890000000000004</v>
      </c>
      <c r="I638">
        <v>2716.8032000000003</v>
      </c>
      <c r="J638" t="s">
        <v>372</v>
      </c>
    </row>
    <row r="639" spans="1:10" x14ac:dyDescent="0.35">
      <c r="A639" t="s">
        <v>1023</v>
      </c>
      <c r="B639" t="s">
        <v>227</v>
      </c>
      <c r="C639" t="s">
        <v>374</v>
      </c>
      <c r="D639">
        <v>8</v>
      </c>
      <c r="E639" t="s">
        <v>377</v>
      </c>
      <c r="F639">
        <v>2022</v>
      </c>
      <c r="G639">
        <v>342.55</v>
      </c>
      <c r="H639">
        <v>0.71250000000000002</v>
      </c>
      <c r="I639">
        <v>24406.6875</v>
      </c>
      <c r="J639" t="s">
        <v>372</v>
      </c>
    </row>
    <row r="640" spans="1:10" x14ac:dyDescent="0.35">
      <c r="A640" t="s">
        <v>1024</v>
      </c>
      <c r="B640" t="s">
        <v>12</v>
      </c>
      <c r="C640" t="s">
        <v>370</v>
      </c>
      <c r="D640">
        <v>3</v>
      </c>
      <c r="E640" t="s">
        <v>391</v>
      </c>
      <c r="F640">
        <v>2024</v>
      </c>
      <c r="G640">
        <v>487.41</v>
      </c>
      <c r="H640">
        <v>0.2165</v>
      </c>
      <c r="I640">
        <v>10552.4265</v>
      </c>
      <c r="J640" t="s">
        <v>372</v>
      </c>
    </row>
    <row r="641" spans="1:10" x14ac:dyDescent="0.35">
      <c r="A641" t="s">
        <v>1025</v>
      </c>
      <c r="B641" t="s">
        <v>23</v>
      </c>
      <c r="C641" t="s">
        <v>384</v>
      </c>
      <c r="D641">
        <v>4</v>
      </c>
      <c r="E641" t="s">
        <v>394</v>
      </c>
      <c r="F641">
        <v>2024</v>
      </c>
      <c r="G641">
        <v>271.51</v>
      </c>
      <c r="H641">
        <v>0.69340000000000002</v>
      </c>
      <c r="I641">
        <v>18826.503399999998</v>
      </c>
      <c r="J641" t="s">
        <v>372</v>
      </c>
    </row>
    <row r="642" spans="1:10" x14ac:dyDescent="0.35">
      <c r="A642" t="s">
        <v>1026</v>
      </c>
      <c r="B642" t="s">
        <v>274</v>
      </c>
      <c r="C642" t="s">
        <v>384</v>
      </c>
      <c r="D642">
        <v>7</v>
      </c>
      <c r="E642" t="s">
        <v>375</v>
      </c>
      <c r="F642">
        <v>2024</v>
      </c>
      <c r="G642">
        <v>210.56</v>
      </c>
      <c r="H642">
        <v>0.44409999999999999</v>
      </c>
      <c r="I642">
        <v>9350.9696000000004</v>
      </c>
      <c r="J642" t="s">
        <v>372</v>
      </c>
    </row>
    <row r="643" spans="1:10" x14ac:dyDescent="0.35">
      <c r="A643" t="s">
        <v>1027</v>
      </c>
      <c r="B643" t="s">
        <v>185</v>
      </c>
      <c r="C643" t="s">
        <v>374</v>
      </c>
      <c r="D643">
        <v>4</v>
      </c>
      <c r="E643" t="s">
        <v>394</v>
      </c>
      <c r="F643">
        <v>2024</v>
      </c>
      <c r="G643">
        <v>464.35</v>
      </c>
      <c r="H643">
        <v>0.30280000000000001</v>
      </c>
      <c r="I643">
        <v>14060.518000000002</v>
      </c>
      <c r="J643" t="s">
        <v>372</v>
      </c>
    </row>
    <row r="644" spans="1:10" x14ac:dyDescent="0.35">
      <c r="A644" t="s">
        <v>1028</v>
      </c>
      <c r="B644" t="s">
        <v>219</v>
      </c>
      <c r="C644" t="s">
        <v>374</v>
      </c>
      <c r="D644">
        <v>7</v>
      </c>
      <c r="E644" t="s">
        <v>375</v>
      </c>
      <c r="F644">
        <v>2023</v>
      </c>
      <c r="G644">
        <v>270.42</v>
      </c>
      <c r="H644">
        <v>0.61299999999999999</v>
      </c>
      <c r="I644">
        <v>16576.745999999999</v>
      </c>
      <c r="J644" t="s">
        <v>372</v>
      </c>
    </row>
    <row r="645" spans="1:10" x14ac:dyDescent="0.35">
      <c r="A645" t="s">
        <v>1029</v>
      </c>
      <c r="B645" t="s">
        <v>123</v>
      </c>
      <c r="C645" t="s">
        <v>384</v>
      </c>
      <c r="D645">
        <v>11</v>
      </c>
      <c r="E645" t="s">
        <v>371</v>
      </c>
      <c r="F645">
        <v>2024</v>
      </c>
      <c r="G645">
        <v>351.1</v>
      </c>
      <c r="H645">
        <v>0.61970000000000003</v>
      </c>
      <c r="I645">
        <v>21757.667000000005</v>
      </c>
      <c r="J645" t="s">
        <v>372</v>
      </c>
    </row>
    <row r="646" spans="1:10" x14ac:dyDescent="0.35">
      <c r="A646" t="s">
        <v>1030</v>
      </c>
      <c r="B646" t="s">
        <v>160</v>
      </c>
      <c r="C646" t="s">
        <v>374</v>
      </c>
      <c r="D646">
        <v>9</v>
      </c>
      <c r="E646" t="s">
        <v>403</v>
      </c>
      <c r="F646">
        <v>2023</v>
      </c>
      <c r="G646">
        <v>457.94</v>
      </c>
      <c r="H646">
        <v>0.69630000000000003</v>
      </c>
      <c r="I646">
        <v>31886.362200000003</v>
      </c>
      <c r="J646" t="s">
        <v>372</v>
      </c>
    </row>
    <row r="647" spans="1:10" x14ac:dyDescent="0.35">
      <c r="A647" t="s">
        <v>1031</v>
      </c>
      <c r="B647" t="s">
        <v>99</v>
      </c>
      <c r="C647" t="s">
        <v>384</v>
      </c>
      <c r="D647">
        <v>4</v>
      </c>
      <c r="E647" t="s">
        <v>394</v>
      </c>
      <c r="F647">
        <v>2023</v>
      </c>
      <c r="G647">
        <v>311.89</v>
      </c>
      <c r="H647">
        <v>0.60660000000000003</v>
      </c>
      <c r="I647">
        <v>18919.2474</v>
      </c>
      <c r="J647" t="s">
        <v>372</v>
      </c>
    </row>
    <row r="648" spans="1:10" x14ac:dyDescent="0.35">
      <c r="A648" t="s">
        <v>1032</v>
      </c>
      <c r="B648" t="s">
        <v>194</v>
      </c>
      <c r="C648" t="s">
        <v>374</v>
      </c>
      <c r="D648">
        <v>9</v>
      </c>
      <c r="E648" t="s">
        <v>403</v>
      </c>
      <c r="F648">
        <v>2023</v>
      </c>
      <c r="G648">
        <v>384.55</v>
      </c>
      <c r="H648">
        <v>0.76129999999999998</v>
      </c>
      <c r="I648">
        <v>29275.791500000003</v>
      </c>
      <c r="J648" t="s">
        <v>372</v>
      </c>
    </row>
    <row r="649" spans="1:10" x14ac:dyDescent="0.35">
      <c r="A649" t="s">
        <v>1033</v>
      </c>
      <c r="B649" t="s">
        <v>108</v>
      </c>
      <c r="C649" t="s">
        <v>374</v>
      </c>
      <c r="D649">
        <v>10</v>
      </c>
      <c r="E649" t="s">
        <v>387</v>
      </c>
      <c r="F649">
        <v>2022</v>
      </c>
      <c r="G649">
        <v>333.83</v>
      </c>
      <c r="H649">
        <v>0.43969999999999998</v>
      </c>
      <c r="I649">
        <v>14678.505099999998</v>
      </c>
      <c r="J649" t="s">
        <v>372</v>
      </c>
    </row>
    <row r="650" spans="1:10" x14ac:dyDescent="0.35">
      <c r="A650" t="s">
        <v>1034</v>
      </c>
      <c r="B650" t="s">
        <v>138</v>
      </c>
      <c r="C650" t="s">
        <v>370</v>
      </c>
      <c r="D650">
        <v>10</v>
      </c>
      <c r="E650" t="s">
        <v>387</v>
      </c>
      <c r="F650">
        <v>2023</v>
      </c>
      <c r="G650">
        <v>20.67</v>
      </c>
      <c r="H650">
        <v>0.2908</v>
      </c>
      <c r="I650">
        <v>601.08360000000005</v>
      </c>
      <c r="J650" t="s">
        <v>372</v>
      </c>
    </row>
    <row r="651" spans="1:10" x14ac:dyDescent="0.35">
      <c r="A651" t="s">
        <v>1035</v>
      </c>
      <c r="B651" t="s">
        <v>237</v>
      </c>
      <c r="C651" t="s">
        <v>384</v>
      </c>
      <c r="D651">
        <v>2</v>
      </c>
      <c r="E651" t="s">
        <v>389</v>
      </c>
      <c r="F651">
        <v>2022</v>
      </c>
      <c r="G651">
        <v>486.93</v>
      </c>
      <c r="H651">
        <v>0.79179999999999995</v>
      </c>
      <c r="I651">
        <v>38555.117400000003</v>
      </c>
      <c r="J651" t="s">
        <v>372</v>
      </c>
    </row>
    <row r="652" spans="1:10" x14ac:dyDescent="0.35">
      <c r="A652" t="s">
        <v>1036</v>
      </c>
      <c r="B652" t="s">
        <v>312</v>
      </c>
      <c r="C652" t="s">
        <v>384</v>
      </c>
      <c r="D652">
        <v>7</v>
      </c>
      <c r="E652" t="s">
        <v>375</v>
      </c>
      <c r="F652">
        <v>2024</v>
      </c>
      <c r="G652">
        <v>455.35</v>
      </c>
      <c r="H652">
        <v>0.69640000000000002</v>
      </c>
      <c r="I652">
        <v>31710.574000000004</v>
      </c>
      <c r="J652" t="s">
        <v>372</v>
      </c>
    </row>
    <row r="653" spans="1:10" x14ac:dyDescent="0.35">
      <c r="A653" t="s">
        <v>1037</v>
      </c>
      <c r="B653" t="s">
        <v>15</v>
      </c>
      <c r="C653" t="s">
        <v>370</v>
      </c>
      <c r="D653">
        <v>2</v>
      </c>
      <c r="E653" t="s">
        <v>389</v>
      </c>
      <c r="F653">
        <v>2024</v>
      </c>
      <c r="G653">
        <v>208.5</v>
      </c>
      <c r="H653">
        <v>0.38540000000000002</v>
      </c>
      <c r="I653">
        <v>8035.59</v>
      </c>
      <c r="J653" t="s">
        <v>372</v>
      </c>
    </row>
    <row r="654" spans="1:10" x14ac:dyDescent="0.35">
      <c r="A654" t="s">
        <v>1038</v>
      </c>
      <c r="B654" t="s">
        <v>265</v>
      </c>
      <c r="C654" t="s">
        <v>384</v>
      </c>
      <c r="D654">
        <v>9</v>
      </c>
      <c r="E654" t="s">
        <v>403</v>
      </c>
      <c r="F654">
        <v>2022</v>
      </c>
      <c r="G654">
        <v>0</v>
      </c>
      <c r="H654">
        <v>0.54749999999999999</v>
      </c>
      <c r="I654">
        <v>0</v>
      </c>
      <c r="J654" t="s">
        <v>423</v>
      </c>
    </row>
    <row r="655" spans="1:10" x14ac:dyDescent="0.35">
      <c r="A655" t="s">
        <v>1039</v>
      </c>
      <c r="B655" t="s">
        <v>347</v>
      </c>
      <c r="C655" t="s">
        <v>374</v>
      </c>
      <c r="D655">
        <v>7</v>
      </c>
      <c r="E655" t="s">
        <v>375</v>
      </c>
      <c r="F655">
        <v>2023</v>
      </c>
      <c r="G655">
        <v>261.27999999999997</v>
      </c>
      <c r="H655">
        <v>0.47299999999999998</v>
      </c>
      <c r="I655">
        <v>12358.543999999998</v>
      </c>
      <c r="J655" t="s">
        <v>372</v>
      </c>
    </row>
    <row r="656" spans="1:10" x14ac:dyDescent="0.35">
      <c r="A656" t="s">
        <v>1040</v>
      </c>
      <c r="B656" t="s">
        <v>351</v>
      </c>
      <c r="C656" t="s">
        <v>374</v>
      </c>
      <c r="D656">
        <v>11</v>
      </c>
      <c r="E656" t="s">
        <v>371</v>
      </c>
      <c r="F656">
        <v>2022</v>
      </c>
      <c r="G656">
        <v>317.87</v>
      </c>
      <c r="H656">
        <v>0.33529999999999999</v>
      </c>
      <c r="I656">
        <v>10658.1811</v>
      </c>
      <c r="J656" t="s">
        <v>372</v>
      </c>
    </row>
    <row r="657" spans="1:10" x14ac:dyDescent="0.35">
      <c r="A657" t="s">
        <v>1041</v>
      </c>
      <c r="B657" t="s">
        <v>310</v>
      </c>
      <c r="C657" t="s">
        <v>384</v>
      </c>
      <c r="D657">
        <v>3</v>
      </c>
      <c r="E657" t="s">
        <v>391</v>
      </c>
      <c r="F657">
        <v>2023</v>
      </c>
      <c r="G657">
        <v>367.45</v>
      </c>
      <c r="H657">
        <v>0.5857</v>
      </c>
      <c r="I657">
        <v>21521.5465</v>
      </c>
      <c r="J657" t="s">
        <v>372</v>
      </c>
    </row>
    <row r="658" spans="1:10" x14ac:dyDescent="0.35">
      <c r="A658" t="s">
        <v>1042</v>
      </c>
      <c r="B658" t="s">
        <v>76</v>
      </c>
      <c r="C658" t="s">
        <v>370</v>
      </c>
      <c r="D658">
        <v>10</v>
      </c>
      <c r="E658" t="s">
        <v>387</v>
      </c>
      <c r="F658">
        <v>2022</v>
      </c>
      <c r="G658">
        <v>304.05</v>
      </c>
      <c r="H658">
        <v>0.28349999999999997</v>
      </c>
      <c r="I658">
        <v>8619.8174999999992</v>
      </c>
      <c r="J658" t="s">
        <v>372</v>
      </c>
    </row>
    <row r="659" spans="1:10" x14ac:dyDescent="0.35">
      <c r="A659" t="s">
        <v>1043</v>
      </c>
      <c r="B659" t="s">
        <v>117</v>
      </c>
      <c r="C659" t="s">
        <v>374</v>
      </c>
      <c r="D659">
        <v>6</v>
      </c>
      <c r="E659" t="s">
        <v>379</v>
      </c>
      <c r="F659">
        <v>2023</v>
      </c>
      <c r="G659">
        <v>240.56</v>
      </c>
      <c r="H659">
        <v>0.74980000000000002</v>
      </c>
      <c r="I659">
        <v>18037.1888</v>
      </c>
      <c r="J659" t="s">
        <v>372</v>
      </c>
    </row>
    <row r="660" spans="1:10" x14ac:dyDescent="0.35">
      <c r="A660" t="s">
        <v>1044</v>
      </c>
      <c r="B660" t="s">
        <v>113</v>
      </c>
      <c r="C660" t="s">
        <v>370</v>
      </c>
      <c r="D660">
        <v>4</v>
      </c>
      <c r="E660" t="s">
        <v>394</v>
      </c>
      <c r="F660">
        <v>2022</v>
      </c>
      <c r="G660">
        <v>42.1</v>
      </c>
      <c r="H660">
        <v>0.32869999999999999</v>
      </c>
      <c r="I660">
        <v>1383.827</v>
      </c>
      <c r="J660" t="s">
        <v>372</v>
      </c>
    </row>
    <row r="661" spans="1:10" x14ac:dyDescent="0.35">
      <c r="A661" t="s">
        <v>1045</v>
      </c>
      <c r="B661" t="s">
        <v>327</v>
      </c>
      <c r="C661" t="s">
        <v>384</v>
      </c>
      <c r="D661">
        <v>12</v>
      </c>
      <c r="E661" t="s">
        <v>487</v>
      </c>
      <c r="F661">
        <v>2022</v>
      </c>
      <c r="G661">
        <v>70.67</v>
      </c>
      <c r="H661">
        <v>0.66739999999999999</v>
      </c>
      <c r="I661">
        <v>4716.5158000000001</v>
      </c>
      <c r="J661" t="s">
        <v>372</v>
      </c>
    </row>
    <row r="662" spans="1:10" x14ac:dyDescent="0.35">
      <c r="A662" t="s">
        <v>1046</v>
      </c>
      <c r="B662" t="s">
        <v>164</v>
      </c>
      <c r="C662" t="s">
        <v>384</v>
      </c>
      <c r="D662">
        <v>2</v>
      </c>
      <c r="E662" t="s">
        <v>389</v>
      </c>
      <c r="F662">
        <v>2024</v>
      </c>
      <c r="G662">
        <v>311.66000000000003</v>
      </c>
      <c r="H662">
        <v>0.14729999999999999</v>
      </c>
      <c r="I662">
        <v>4590.7518</v>
      </c>
      <c r="J662" t="s">
        <v>372</v>
      </c>
    </row>
    <row r="663" spans="1:10" x14ac:dyDescent="0.35">
      <c r="A663" t="s">
        <v>1047</v>
      </c>
      <c r="B663" t="s">
        <v>12</v>
      </c>
      <c r="C663" t="s">
        <v>370</v>
      </c>
      <c r="D663">
        <v>4</v>
      </c>
      <c r="E663" t="s">
        <v>394</v>
      </c>
      <c r="F663">
        <v>2023</v>
      </c>
      <c r="G663">
        <v>148.72999999999999</v>
      </c>
      <c r="H663">
        <v>0.40739999999999998</v>
      </c>
      <c r="I663">
        <v>6059.2601999999988</v>
      </c>
      <c r="J663" t="s">
        <v>372</v>
      </c>
    </row>
    <row r="664" spans="1:10" x14ac:dyDescent="0.35">
      <c r="A664" t="s">
        <v>1048</v>
      </c>
      <c r="B664" t="s">
        <v>348</v>
      </c>
      <c r="C664" t="s">
        <v>384</v>
      </c>
      <c r="D664">
        <v>10</v>
      </c>
      <c r="E664" t="s">
        <v>387</v>
      </c>
      <c r="F664">
        <v>2024</v>
      </c>
      <c r="G664">
        <v>176.15</v>
      </c>
      <c r="H664">
        <v>0.80420000000000003</v>
      </c>
      <c r="I664">
        <v>14165.983</v>
      </c>
      <c r="J664" t="s">
        <v>372</v>
      </c>
    </row>
    <row r="665" spans="1:10" x14ac:dyDescent="0.35">
      <c r="A665" t="s">
        <v>1049</v>
      </c>
      <c r="B665" t="s">
        <v>161</v>
      </c>
      <c r="C665" t="s">
        <v>370</v>
      </c>
      <c r="D665">
        <v>3</v>
      </c>
      <c r="E665" t="s">
        <v>391</v>
      </c>
      <c r="F665">
        <v>2024</v>
      </c>
      <c r="G665">
        <v>232.19</v>
      </c>
      <c r="H665">
        <v>0.84640000000000004</v>
      </c>
      <c r="I665">
        <v>19652.561600000001</v>
      </c>
      <c r="J665" t="s">
        <v>372</v>
      </c>
    </row>
    <row r="666" spans="1:10" x14ac:dyDescent="0.35">
      <c r="A666" t="s">
        <v>1050</v>
      </c>
      <c r="B666" t="s">
        <v>287</v>
      </c>
      <c r="C666" t="s">
        <v>384</v>
      </c>
      <c r="D666">
        <v>1</v>
      </c>
      <c r="E666" t="s">
        <v>381</v>
      </c>
      <c r="F666">
        <v>2023</v>
      </c>
      <c r="G666">
        <v>164.64</v>
      </c>
      <c r="H666">
        <v>0.33260000000000001</v>
      </c>
      <c r="I666">
        <v>5475.9263999999994</v>
      </c>
      <c r="J666" t="s">
        <v>372</v>
      </c>
    </row>
    <row r="667" spans="1:10" x14ac:dyDescent="0.35">
      <c r="A667" t="s">
        <v>1051</v>
      </c>
      <c r="B667" t="s">
        <v>140</v>
      </c>
      <c r="C667" t="s">
        <v>374</v>
      </c>
      <c r="D667">
        <v>11</v>
      </c>
      <c r="E667" t="s">
        <v>371</v>
      </c>
      <c r="F667">
        <v>2023</v>
      </c>
      <c r="G667">
        <v>377.86</v>
      </c>
      <c r="H667">
        <v>0.3881</v>
      </c>
      <c r="I667">
        <v>14664.7466</v>
      </c>
      <c r="J667" t="s">
        <v>372</v>
      </c>
    </row>
    <row r="668" spans="1:10" x14ac:dyDescent="0.35">
      <c r="A668" t="s">
        <v>1052</v>
      </c>
      <c r="B668" t="s">
        <v>313</v>
      </c>
      <c r="C668" t="s">
        <v>370</v>
      </c>
      <c r="D668">
        <v>3</v>
      </c>
      <c r="E668" t="s">
        <v>391</v>
      </c>
      <c r="F668">
        <v>2024</v>
      </c>
      <c r="G668">
        <v>480.65</v>
      </c>
      <c r="H668">
        <v>0.11940000000000001</v>
      </c>
      <c r="I668">
        <v>5738.9609999999993</v>
      </c>
      <c r="J668" t="s">
        <v>372</v>
      </c>
    </row>
    <row r="669" spans="1:10" x14ac:dyDescent="0.35">
      <c r="A669" t="s">
        <v>1053</v>
      </c>
      <c r="B669" t="s">
        <v>221</v>
      </c>
      <c r="C669" t="s">
        <v>374</v>
      </c>
      <c r="D669">
        <v>4</v>
      </c>
      <c r="E669" t="s">
        <v>394</v>
      </c>
      <c r="F669">
        <v>2024</v>
      </c>
      <c r="G669">
        <v>342.08</v>
      </c>
      <c r="H669">
        <v>0.84489999999999998</v>
      </c>
      <c r="I669">
        <v>28902.339199999999</v>
      </c>
      <c r="J669" t="s">
        <v>372</v>
      </c>
    </row>
    <row r="670" spans="1:10" x14ac:dyDescent="0.35">
      <c r="A670" t="s">
        <v>1054</v>
      </c>
      <c r="B670" t="s">
        <v>297</v>
      </c>
      <c r="C670" t="s">
        <v>384</v>
      </c>
      <c r="D670">
        <v>8</v>
      </c>
      <c r="E670" t="s">
        <v>377</v>
      </c>
      <c r="F670">
        <v>2024</v>
      </c>
      <c r="G670">
        <v>461.89</v>
      </c>
      <c r="H670">
        <v>0.52690000000000003</v>
      </c>
      <c r="I670">
        <v>24336.984100000001</v>
      </c>
      <c r="J670" t="s">
        <v>372</v>
      </c>
    </row>
    <row r="671" spans="1:10" x14ac:dyDescent="0.35">
      <c r="A671" t="s">
        <v>1055</v>
      </c>
      <c r="B671" t="s">
        <v>86</v>
      </c>
      <c r="C671" t="s">
        <v>384</v>
      </c>
      <c r="D671">
        <v>9</v>
      </c>
      <c r="E671" t="s">
        <v>403</v>
      </c>
      <c r="F671">
        <v>2022</v>
      </c>
      <c r="G671">
        <v>203.84</v>
      </c>
      <c r="H671">
        <v>0.17580000000000001</v>
      </c>
      <c r="I671">
        <v>3583.5072000000005</v>
      </c>
      <c r="J671" t="s">
        <v>372</v>
      </c>
    </row>
    <row r="672" spans="1:10" x14ac:dyDescent="0.35">
      <c r="A672" t="s">
        <v>1056</v>
      </c>
      <c r="B672" t="s">
        <v>347</v>
      </c>
      <c r="C672" t="s">
        <v>374</v>
      </c>
      <c r="D672">
        <v>1</v>
      </c>
      <c r="E672" t="s">
        <v>381</v>
      </c>
      <c r="F672">
        <v>2024</v>
      </c>
      <c r="G672">
        <v>250.37</v>
      </c>
      <c r="H672">
        <v>0.52949999999999997</v>
      </c>
      <c r="I672">
        <v>13257.091499999999</v>
      </c>
      <c r="J672" t="s">
        <v>372</v>
      </c>
    </row>
    <row r="673" spans="1:10" x14ac:dyDescent="0.35">
      <c r="A673" t="s">
        <v>1057</v>
      </c>
      <c r="B673" t="s">
        <v>219</v>
      </c>
      <c r="C673" t="s">
        <v>374</v>
      </c>
      <c r="D673">
        <v>2</v>
      </c>
      <c r="E673" t="s">
        <v>389</v>
      </c>
      <c r="F673">
        <v>2022</v>
      </c>
      <c r="G673">
        <v>13.25</v>
      </c>
      <c r="H673">
        <v>0.74280000000000002</v>
      </c>
      <c r="I673">
        <v>984.21</v>
      </c>
      <c r="J673" t="s">
        <v>372</v>
      </c>
    </row>
    <row r="674" spans="1:10" x14ac:dyDescent="0.35">
      <c r="A674" t="s">
        <v>1058</v>
      </c>
      <c r="B674" t="s">
        <v>276</v>
      </c>
      <c r="C674" t="s">
        <v>370</v>
      </c>
      <c r="D674">
        <v>11</v>
      </c>
      <c r="E674" t="s">
        <v>371</v>
      </c>
      <c r="F674">
        <v>2024</v>
      </c>
      <c r="G674">
        <v>105.26</v>
      </c>
      <c r="H674">
        <v>0.1283</v>
      </c>
      <c r="I674">
        <v>1350.4858000000002</v>
      </c>
      <c r="J674" t="s">
        <v>372</v>
      </c>
    </row>
    <row r="675" spans="1:10" x14ac:dyDescent="0.35">
      <c r="A675" t="s">
        <v>1059</v>
      </c>
      <c r="B675" t="s">
        <v>279</v>
      </c>
      <c r="C675" t="s">
        <v>374</v>
      </c>
      <c r="D675">
        <v>12</v>
      </c>
      <c r="E675" t="s">
        <v>487</v>
      </c>
      <c r="F675">
        <v>2022</v>
      </c>
      <c r="G675">
        <v>259.08999999999997</v>
      </c>
      <c r="H675">
        <v>0.68959999999999999</v>
      </c>
      <c r="I675">
        <v>17866.846399999999</v>
      </c>
      <c r="J675" t="s">
        <v>372</v>
      </c>
    </row>
    <row r="676" spans="1:10" x14ac:dyDescent="0.35">
      <c r="A676" t="s">
        <v>1060</v>
      </c>
      <c r="B676" t="s">
        <v>317</v>
      </c>
      <c r="C676" t="s">
        <v>370</v>
      </c>
      <c r="D676">
        <v>9</v>
      </c>
      <c r="E676" t="s">
        <v>403</v>
      </c>
      <c r="F676">
        <v>2023</v>
      </c>
      <c r="G676">
        <v>378.16</v>
      </c>
      <c r="H676">
        <v>0.32329999999999998</v>
      </c>
      <c r="I676">
        <v>12225.9128</v>
      </c>
      <c r="J676" t="s">
        <v>372</v>
      </c>
    </row>
    <row r="677" spans="1:10" x14ac:dyDescent="0.35">
      <c r="A677" t="s">
        <v>1061</v>
      </c>
      <c r="B677" t="s">
        <v>316</v>
      </c>
      <c r="C677" t="s">
        <v>374</v>
      </c>
      <c r="D677">
        <v>5</v>
      </c>
      <c r="E677" t="s">
        <v>417</v>
      </c>
      <c r="F677">
        <v>2024</v>
      </c>
      <c r="G677">
        <v>497.6</v>
      </c>
      <c r="H677">
        <v>0.23530000000000001</v>
      </c>
      <c r="I677">
        <v>11708.528000000002</v>
      </c>
      <c r="J677" t="s">
        <v>372</v>
      </c>
    </row>
    <row r="678" spans="1:10" x14ac:dyDescent="0.35">
      <c r="A678" t="s">
        <v>1062</v>
      </c>
      <c r="B678" t="s">
        <v>221</v>
      </c>
      <c r="C678" t="s">
        <v>374</v>
      </c>
      <c r="D678">
        <v>6</v>
      </c>
      <c r="E678" t="s">
        <v>379</v>
      </c>
      <c r="F678">
        <v>2022</v>
      </c>
      <c r="G678">
        <v>389.78</v>
      </c>
      <c r="H678">
        <v>0.1178</v>
      </c>
      <c r="I678">
        <v>4591.6084000000001</v>
      </c>
      <c r="J678" t="s">
        <v>372</v>
      </c>
    </row>
    <row r="679" spans="1:10" x14ac:dyDescent="0.35">
      <c r="A679" t="s">
        <v>1063</v>
      </c>
      <c r="B679" t="s">
        <v>233</v>
      </c>
      <c r="C679" t="s">
        <v>370</v>
      </c>
      <c r="D679">
        <v>10</v>
      </c>
      <c r="E679" t="s">
        <v>387</v>
      </c>
      <c r="F679">
        <v>2022</v>
      </c>
      <c r="G679">
        <v>131.28</v>
      </c>
      <c r="H679">
        <v>0.182</v>
      </c>
      <c r="I679">
        <v>2389.2959999999998</v>
      </c>
      <c r="J679" t="s">
        <v>372</v>
      </c>
    </row>
    <row r="680" spans="1:10" x14ac:dyDescent="0.35">
      <c r="A680" t="s">
        <v>1064</v>
      </c>
      <c r="B680" t="s">
        <v>115</v>
      </c>
      <c r="C680" t="s">
        <v>370</v>
      </c>
      <c r="D680">
        <v>12</v>
      </c>
      <c r="E680" t="s">
        <v>487</v>
      </c>
      <c r="F680">
        <v>2023</v>
      </c>
      <c r="G680">
        <v>449.32</v>
      </c>
      <c r="H680">
        <v>0.2281</v>
      </c>
      <c r="I680">
        <v>10248.9892</v>
      </c>
      <c r="J680" t="s">
        <v>372</v>
      </c>
    </row>
    <row r="681" spans="1:10" x14ac:dyDescent="0.35">
      <c r="A681" t="s">
        <v>1065</v>
      </c>
      <c r="B681" t="s">
        <v>121</v>
      </c>
      <c r="C681" t="s">
        <v>374</v>
      </c>
      <c r="D681">
        <v>8</v>
      </c>
      <c r="E681" t="s">
        <v>377</v>
      </c>
      <c r="F681">
        <v>2022</v>
      </c>
      <c r="G681">
        <v>361.04</v>
      </c>
      <c r="H681">
        <v>0.77280000000000004</v>
      </c>
      <c r="I681">
        <v>27901.171200000004</v>
      </c>
      <c r="J681" t="s">
        <v>372</v>
      </c>
    </row>
    <row r="682" spans="1:10" x14ac:dyDescent="0.35">
      <c r="A682" t="s">
        <v>1066</v>
      </c>
      <c r="B682" t="s">
        <v>265</v>
      </c>
      <c r="C682" t="s">
        <v>384</v>
      </c>
      <c r="D682">
        <v>9</v>
      </c>
      <c r="E682" t="s">
        <v>403</v>
      </c>
      <c r="F682">
        <v>2024</v>
      </c>
      <c r="G682">
        <v>166.95</v>
      </c>
      <c r="H682">
        <v>0.1618</v>
      </c>
      <c r="I682">
        <v>2701.2509999999997</v>
      </c>
      <c r="J682" t="s">
        <v>372</v>
      </c>
    </row>
    <row r="683" spans="1:10" x14ac:dyDescent="0.35">
      <c r="A683" t="s">
        <v>1067</v>
      </c>
      <c r="B683" t="s">
        <v>208</v>
      </c>
      <c r="C683" t="s">
        <v>384</v>
      </c>
      <c r="D683">
        <v>1</v>
      </c>
      <c r="E683" t="s">
        <v>381</v>
      </c>
      <c r="F683">
        <v>2022</v>
      </c>
      <c r="G683">
        <v>417.72</v>
      </c>
      <c r="H683">
        <v>0.45100000000000001</v>
      </c>
      <c r="I683">
        <v>18839.172000000002</v>
      </c>
      <c r="J683" t="s">
        <v>372</v>
      </c>
    </row>
    <row r="684" spans="1:10" x14ac:dyDescent="0.35">
      <c r="A684" t="s">
        <v>1068</v>
      </c>
      <c r="B684" t="s">
        <v>173</v>
      </c>
      <c r="C684" t="s">
        <v>384</v>
      </c>
      <c r="D684">
        <v>10</v>
      </c>
      <c r="E684" t="s">
        <v>387</v>
      </c>
      <c r="F684">
        <v>2024</v>
      </c>
      <c r="G684">
        <v>419.24</v>
      </c>
      <c r="H684">
        <v>0.74399999999999999</v>
      </c>
      <c r="I684">
        <v>31191.455999999998</v>
      </c>
      <c r="J684" t="s">
        <v>372</v>
      </c>
    </row>
    <row r="685" spans="1:10" x14ac:dyDescent="0.35">
      <c r="A685" t="s">
        <v>1069</v>
      </c>
      <c r="B685" t="s">
        <v>171</v>
      </c>
      <c r="C685" t="s">
        <v>370</v>
      </c>
      <c r="D685">
        <v>2</v>
      </c>
      <c r="E685" t="s">
        <v>389</v>
      </c>
      <c r="F685">
        <v>2023</v>
      </c>
      <c r="G685">
        <v>21.76</v>
      </c>
      <c r="H685">
        <v>0.4204</v>
      </c>
      <c r="I685">
        <v>914.79040000000009</v>
      </c>
      <c r="J685" t="s">
        <v>372</v>
      </c>
    </row>
    <row r="686" spans="1:10" x14ac:dyDescent="0.35">
      <c r="A686" t="s">
        <v>1070</v>
      </c>
      <c r="B686" t="s">
        <v>39</v>
      </c>
      <c r="C686" t="s">
        <v>374</v>
      </c>
      <c r="D686">
        <v>3</v>
      </c>
      <c r="E686" t="s">
        <v>391</v>
      </c>
      <c r="F686">
        <v>2024</v>
      </c>
      <c r="G686">
        <v>312.08999999999997</v>
      </c>
      <c r="H686">
        <v>0.73199999999999998</v>
      </c>
      <c r="I686">
        <v>22844.987999999998</v>
      </c>
      <c r="J686" t="s">
        <v>372</v>
      </c>
    </row>
    <row r="687" spans="1:10" x14ac:dyDescent="0.35">
      <c r="A687" t="s">
        <v>1071</v>
      </c>
      <c r="B687" t="s">
        <v>58</v>
      </c>
      <c r="C687" t="s">
        <v>374</v>
      </c>
      <c r="D687">
        <v>10</v>
      </c>
      <c r="E687" t="s">
        <v>387</v>
      </c>
      <c r="F687">
        <v>2022</v>
      </c>
      <c r="G687">
        <v>46.11</v>
      </c>
      <c r="H687">
        <v>0.68489999999999995</v>
      </c>
      <c r="I687">
        <v>3158.0738999999999</v>
      </c>
      <c r="J687" t="s">
        <v>372</v>
      </c>
    </row>
    <row r="688" spans="1:10" x14ac:dyDescent="0.35">
      <c r="A688" t="s">
        <v>1072</v>
      </c>
      <c r="B688" t="s">
        <v>52</v>
      </c>
      <c r="C688" t="s">
        <v>384</v>
      </c>
      <c r="D688">
        <v>9</v>
      </c>
      <c r="E688" t="s">
        <v>403</v>
      </c>
      <c r="F688">
        <v>2024</v>
      </c>
      <c r="G688">
        <v>405.28</v>
      </c>
      <c r="H688">
        <v>0.34699999999999998</v>
      </c>
      <c r="I688">
        <v>14063.215999999997</v>
      </c>
      <c r="J688" t="s">
        <v>372</v>
      </c>
    </row>
    <row r="689" spans="1:10" x14ac:dyDescent="0.35">
      <c r="A689" t="s">
        <v>1073</v>
      </c>
      <c r="B689" t="s">
        <v>338</v>
      </c>
      <c r="C689" t="s">
        <v>374</v>
      </c>
      <c r="D689">
        <v>3</v>
      </c>
      <c r="E689" t="s">
        <v>391</v>
      </c>
      <c r="F689">
        <v>2024</v>
      </c>
      <c r="G689">
        <v>184.85</v>
      </c>
      <c r="H689">
        <v>0.78649999999999998</v>
      </c>
      <c r="I689">
        <v>14538.452499999999</v>
      </c>
      <c r="J689" t="s">
        <v>372</v>
      </c>
    </row>
    <row r="690" spans="1:10" x14ac:dyDescent="0.35">
      <c r="A690" t="s">
        <v>1074</v>
      </c>
      <c r="B690" t="s">
        <v>56</v>
      </c>
      <c r="C690" t="s">
        <v>374</v>
      </c>
      <c r="D690">
        <v>11</v>
      </c>
      <c r="E690" t="s">
        <v>371</v>
      </c>
      <c r="F690">
        <v>2022</v>
      </c>
      <c r="G690">
        <v>462</v>
      </c>
      <c r="H690">
        <v>0.48749999999999999</v>
      </c>
      <c r="I690">
        <v>22522.5</v>
      </c>
      <c r="J690" t="s">
        <v>372</v>
      </c>
    </row>
    <row r="691" spans="1:10" x14ac:dyDescent="0.35">
      <c r="A691" t="s">
        <v>1075</v>
      </c>
      <c r="B691" t="s">
        <v>245</v>
      </c>
      <c r="C691" t="s">
        <v>384</v>
      </c>
      <c r="D691">
        <v>5</v>
      </c>
      <c r="E691" t="s">
        <v>417</v>
      </c>
      <c r="F691">
        <v>2024</v>
      </c>
      <c r="G691">
        <v>198.54</v>
      </c>
      <c r="H691">
        <v>0.44269999999999998</v>
      </c>
      <c r="I691">
        <v>8789.3657999999996</v>
      </c>
      <c r="J691" t="s">
        <v>372</v>
      </c>
    </row>
    <row r="692" spans="1:10" x14ac:dyDescent="0.35">
      <c r="A692" t="s">
        <v>1076</v>
      </c>
      <c r="B692" t="s">
        <v>244</v>
      </c>
      <c r="C692" t="s">
        <v>370</v>
      </c>
      <c r="D692">
        <v>1</v>
      </c>
      <c r="E692" t="s">
        <v>381</v>
      </c>
      <c r="F692">
        <v>2024</v>
      </c>
      <c r="G692">
        <v>358.68</v>
      </c>
      <c r="H692">
        <v>0.28520000000000001</v>
      </c>
      <c r="I692">
        <v>10229.553599999999</v>
      </c>
      <c r="J692" t="s">
        <v>372</v>
      </c>
    </row>
    <row r="693" spans="1:10" x14ac:dyDescent="0.35">
      <c r="A693" t="s">
        <v>1077</v>
      </c>
      <c r="B693" t="s">
        <v>239</v>
      </c>
      <c r="C693" t="s">
        <v>374</v>
      </c>
      <c r="D693">
        <v>1</v>
      </c>
      <c r="E693" t="s">
        <v>381</v>
      </c>
      <c r="F693">
        <v>2023</v>
      </c>
      <c r="G693">
        <v>333.05</v>
      </c>
      <c r="H693">
        <v>0.1118</v>
      </c>
      <c r="I693">
        <v>3723.4990000000003</v>
      </c>
      <c r="J693" t="s">
        <v>372</v>
      </c>
    </row>
    <row r="694" spans="1:10" x14ac:dyDescent="0.35">
      <c r="A694" t="s">
        <v>1078</v>
      </c>
      <c r="B694" t="s">
        <v>106</v>
      </c>
      <c r="C694" t="s">
        <v>374</v>
      </c>
      <c r="D694">
        <v>12</v>
      </c>
      <c r="E694" t="s">
        <v>487</v>
      </c>
      <c r="F694">
        <v>2022</v>
      </c>
      <c r="G694">
        <v>256.39</v>
      </c>
      <c r="H694">
        <v>0.31740000000000002</v>
      </c>
      <c r="I694">
        <v>8137.8185999999996</v>
      </c>
      <c r="J694" t="s">
        <v>372</v>
      </c>
    </row>
    <row r="695" spans="1:10" x14ac:dyDescent="0.35">
      <c r="A695" t="s">
        <v>1079</v>
      </c>
      <c r="B695" t="s">
        <v>56</v>
      </c>
      <c r="C695" t="s">
        <v>370</v>
      </c>
      <c r="D695">
        <v>2</v>
      </c>
      <c r="E695" t="s">
        <v>389</v>
      </c>
      <c r="F695">
        <v>2024</v>
      </c>
      <c r="G695">
        <v>5.43</v>
      </c>
      <c r="H695">
        <v>0.24079999999999999</v>
      </c>
      <c r="I695">
        <v>130.75439999999998</v>
      </c>
      <c r="J695" t="s">
        <v>372</v>
      </c>
    </row>
    <row r="696" spans="1:10" x14ac:dyDescent="0.35">
      <c r="A696" t="s">
        <v>1080</v>
      </c>
      <c r="B696" t="s">
        <v>23</v>
      </c>
      <c r="C696" t="s">
        <v>384</v>
      </c>
      <c r="D696">
        <v>11</v>
      </c>
      <c r="E696" t="s">
        <v>371</v>
      </c>
      <c r="F696">
        <v>2022</v>
      </c>
      <c r="G696">
        <v>104.81</v>
      </c>
      <c r="H696">
        <v>0.46439999999999998</v>
      </c>
      <c r="I696">
        <v>4867.3764000000001</v>
      </c>
      <c r="J696" t="s">
        <v>372</v>
      </c>
    </row>
    <row r="697" spans="1:10" x14ac:dyDescent="0.35">
      <c r="A697" t="s">
        <v>1081</v>
      </c>
      <c r="B697" t="s">
        <v>247</v>
      </c>
      <c r="C697" t="s">
        <v>384</v>
      </c>
      <c r="D697">
        <v>6</v>
      </c>
      <c r="E697" t="s">
        <v>379</v>
      </c>
      <c r="F697">
        <v>2023</v>
      </c>
      <c r="G697">
        <v>0</v>
      </c>
      <c r="H697">
        <v>0.51380000000000003</v>
      </c>
      <c r="I697">
        <v>0</v>
      </c>
      <c r="J697" t="s">
        <v>423</v>
      </c>
    </row>
    <row r="698" spans="1:10" x14ac:dyDescent="0.35">
      <c r="A698" t="s">
        <v>1082</v>
      </c>
      <c r="B698" t="s">
        <v>301</v>
      </c>
      <c r="C698" t="s">
        <v>370</v>
      </c>
      <c r="D698">
        <v>2</v>
      </c>
      <c r="E698" t="s">
        <v>389</v>
      </c>
      <c r="F698">
        <v>2023</v>
      </c>
      <c r="G698">
        <v>113.81</v>
      </c>
      <c r="H698">
        <v>0.3014</v>
      </c>
      <c r="I698">
        <v>3430.2334000000001</v>
      </c>
      <c r="J698" t="s">
        <v>372</v>
      </c>
    </row>
    <row r="699" spans="1:10" x14ac:dyDescent="0.35">
      <c r="A699" t="s">
        <v>1083</v>
      </c>
      <c r="B699" t="s">
        <v>110</v>
      </c>
      <c r="C699" t="s">
        <v>370</v>
      </c>
      <c r="D699">
        <v>10</v>
      </c>
      <c r="E699" t="s">
        <v>387</v>
      </c>
      <c r="F699">
        <v>2022</v>
      </c>
      <c r="G699">
        <v>365.88</v>
      </c>
      <c r="H699">
        <v>0.3765</v>
      </c>
      <c r="I699">
        <v>13775.382</v>
      </c>
      <c r="J699" t="s">
        <v>372</v>
      </c>
    </row>
    <row r="700" spans="1:10" x14ac:dyDescent="0.35">
      <c r="A700" t="s">
        <v>1084</v>
      </c>
      <c r="B700" t="s">
        <v>156</v>
      </c>
      <c r="C700" t="s">
        <v>384</v>
      </c>
      <c r="D700">
        <v>6</v>
      </c>
      <c r="E700" t="s">
        <v>379</v>
      </c>
      <c r="F700">
        <v>2024</v>
      </c>
      <c r="G700">
        <v>200.41</v>
      </c>
      <c r="H700">
        <v>0.84699999999999998</v>
      </c>
      <c r="I700">
        <v>16974.726999999999</v>
      </c>
      <c r="J700" t="s">
        <v>372</v>
      </c>
    </row>
    <row r="701" spans="1:10" x14ac:dyDescent="0.35">
      <c r="A701" t="s">
        <v>1085</v>
      </c>
      <c r="B701" t="s">
        <v>259</v>
      </c>
      <c r="C701" t="s">
        <v>370</v>
      </c>
      <c r="D701">
        <v>10</v>
      </c>
      <c r="E701" t="s">
        <v>387</v>
      </c>
      <c r="F701">
        <v>2022</v>
      </c>
      <c r="G701">
        <v>16</v>
      </c>
      <c r="H701">
        <v>0.1835</v>
      </c>
      <c r="I701">
        <v>293.60000000000002</v>
      </c>
      <c r="J701" t="s">
        <v>372</v>
      </c>
    </row>
    <row r="702" spans="1:10" x14ac:dyDescent="0.35">
      <c r="A702" t="s">
        <v>1086</v>
      </c>
      <c r="B702" t="s">
        <v>217</v>
      </c>
      <c r="C702" t="s">
        <v>384</v>
      </c>
      <c r="D702">
        <v>8</v>
      </c>
      <c r="E702" t="s">
        <v>377</v>
      </c>
      <c r="F702">
        <v>2023</v>
      </c>
      <c r="G702">
        <v>387.37</v>
      </c>
      <c r="H702">
        <v>0.1817</v>
      </c>
      <c r="I702">
        <v>7038.5129000000006</v>
      </c>
      <c r="J702" t="s">
        <v>372</v>
      </c>
    </row>
    <row r="703" spans="1:10" x14ac:dyDescent="0.35">
      <c r="A703" t="s">
        <v>1087</v>
      </c>
      <c r="B703" t="s">
        <v>181</v>
      </c>
      <c r="C703" t="s">
        <v>374</v>
      </c>
      <c r="D703">
        <v>7</v>
      </c>
      <c r="E703" t="s">
        <v>375</v>
      </c>
      <c r="F703">
        <v>2023</v>
      </c>
      <c r="G703">
        <v>16.350000000000001</v>
      </c>
      <c r="H703">
        <v>0.28849999999999998</v>
      </c>
      <c r="I703">
        <v>471.69749999999999</v>
      </c>
      <c r="J703" t="s">
        <v>372</v>
      </c>
    </row>
    <row r="704" spans="1:10" x14ac:dyDescent="0.35">
      <c r="A704" t="s">
        <v>1088</v>
      </c>
      <c r="B704" t="s">
        <v>127</v>
      </c>
      <c r="C704" t="s">
        <v>384</v>
      </c>
      <c r="D704">
        <v>10</v>
      </c>
      <c r="E704" t="s">
        <v>387</v>
      </c>
      <c r="F704">
        <v>2023</v>
      </c>
      <c r="G704">
        <v>82.49</v>
      </c>
      <c r="H704">
        <v>0.74039999999999995</v>
      </c>
      <c r="I704">
        <v>6107.5595999999987</v>
      </c>
      <c r="J704" t="s">
        <v>372</v>
      </c>
    </row>
    <row r="705" spans="1:10" x14ac:dyDescent="0.35">
      <c r="A705" t="s">
        <v>1089</v>
      </c>
      <c r="B705" t="s">
        <v>356</v>
      </c>
      <c r="C705" t="s">
        <v>374</v>
      </c>
      <c r="D705">
        <v>2</v>
      </c>
      <c r="E705" t="s">
        <v>389</v>
      </c>
      <c r="F705">
        <v>2022</v>
      </c>
      <c r="G705">
        <v>494.93</v>
      </c>
      <c r="H705">
        <v>0.2515</v>
      </c>
      <c r="I705">
        <v>12447.4895</v>
      </c>
      <c r="J705" t="s">
        <v>372</v>
      </c>
    </row>
    <row r="706" spans="1:10" x14ac:dyDescent="0.35">
      <c r="A706" t="s">
        <v>1090</v>
      </c>
      <c r="B706" t="s">
        <v>21</v>
      </c>
      <c r="C706" t="s">
        <v>374</v>
      </c>
      <c r="D706">
        <v>8</v>
      </c>
      <c r="E706" t="s">
        <v>377</v>
      </c>
      <c r="F706">
        <v>2022</v>
      </c>
      <c r="G706">
        <v>217.65</v>
      </c>
      <c r="H706">
        <v>0.61209999999999998</v>
      </c>
      <c r="I706">
        <v>13322.356500000002</v>
      </c>
      <c r="J706" t="s">
        <v>372</v>
      </c>
    </row>
    <row r="707" spans="1:10" x14ac:dyDescent="0.35">
      <c r="A707" t="s">
        <v>1091</v>
      </c>
      <c r="B707" t="s">
        <v>272</v>
      </c>
      <c r="C707" t="s">
        <v>374</v>
      </c>
      <c r="D707">
        <v>3</v>
      </c>
      <c r="E707" t="s">
        <v>391</v>
      </c>
      <c r="F707">
        <v>2023</v>
      </c>
      <c r="G707">
        <v>55.38</v>
      </c>
      <c r="H707">
        <v>0.47949999999999998</v>
      </c>
      <c r="I707">
        <v>2655.471</v>
      </c>
      <c r="J707" t="s">
        <v>372</v>
      </c>
    </row>
    <row r="708" spans="1:10" x14ac:dyDescent="0.35">
      <c r="A708" t="s">
        <v>1092</v>
      </c>
      <c r="B708" t="s">
        <v>173</v>
      </c>
      <c r="C708" t="s">
        <v>384</v>
      </c>
      <c r="D708">
        <v>1</v>
      </c>
      <c r="E708" t="s">
        <v>381</v>
      </c>
      <c r="F708">
        <v>2024</v>
      </c>
      <c r="G708">
        <v>345.89</v>
      </c>
      <c r="H708">
        <v>0.36359999999999998</v>
      </c>
      <c r="I708">
        <v>12576.560399999998</v>
      </c>
      <c r="J708" t="s">
        <v>372</v>
      </c>
    </row>
    <row r="709" spans="1:10" x14ac:dyDescent="0.35">
      <c r="A709" t="s">
        <v>1093</v>
      </c>
      <c r="B709" t="s">
        <v>28</v>
      </c>
      <c r="C709" t="s">
        <v>384</v>
      </c>
      <c r="D709">
        <v>1</v>
      </c>
      <c r="E709" t="s">
        <v>381</v>
      </c>
      <c r="F709">
        <v>2024</v>
      </c>
      <c r="G709">
        <v>316.72000000000003</v>
      </c>
      <c r="H709">
        <v>0.81459999999999999</v>
      </c>
      <c r="I709">
        <v>25800.011200000001</v>
      </c>
      <c r="J709" t="s">
        <v>372</v>
      </c>
    </row>
    <row r="710" spans="1:10" x14ac:dyDescent="0.35">
      <c r="A710" t="s">
        <v>1094</v>
      </c>
      <c r="B710" t="s">
        <v>131</v>
      </c>
      <c r="C710" t="s">
        <v>374</v>
      </c>
      <c r="D710">
        <v>1</v>
      </c>
      <c r="E710" t="s">
        <v>381</v>
      </c>
      <c r="F710">
        <v>2024</v>
      </c>
      <c r="G710">
        <v>252.7</v>
      </c>
      <c r="H710">
        <v>0.26769999999999999</v>
      </c>
      <c r="I710">
        <v>6764.7790000000005</v>
      </c>
      <c r="J710" t="s">
        <v>372</v>
      </c>
    </row>
    <row r="711" spans="1:10" x14ac:dyDescent="0.35">
      <c r="A711" t="s">
        <v>1095</v>
      </c>
      <c r="B711" t="s">
        <v>85</v>
      </c>
      <c r="C711" t="s">
        <v>374</v>
      </c>
      <c r="D711">
        <v>1</v>
      </c>
      <c r="E711" t="s">
        <v>381</v>
      </c>
      <c r="F711">
        <v>2023</v>
      </c>
      <c r="G711">
        <v>390.12</v>
      </c>
      <c r="H711">
        <v>0.56469999999999998</v>
      </c>
      <c r="I711">
        <v>22030.076399999998</v>
      </c>
      <c r="J711" t="s">
        <v>372</v>
      </c>
    </row>
    <row r="712" spans="1:10" x14ac:dyDescent="0.35">
      <c r="A712" t="s">
        <v>1096</v>
      </c>
      <c r="B712" t="s">
        <v>292</v>
      </c>
      <c r="C712" t="s">
        <v>370</v>
      </c>
      <c r="D712">
        <v>1</v>
      </c>
      <c r="E712" t="s">
        <v>381</v>
      </c>
      <c r="F712">
        <v>2023</v>
      </c>
      <c r="G712">
        <v>24.44</v>
      </c>
      <c r="H712">
        <v>0.51619999999999999</v>
      </c>
      <c r="I712">
        <v>1261.5928000000001</v>
      </c>
      <c r="J712" t="s">
        <v>372</v>
      </c>
    </row>
    <row r="713" spans="1:10" x14ac:dyDescent="0.35">
      <c r="A713" t="s">
        <v>1097</v>
      </c>
      <c r="B713" t="s">
        <v>90</v>
      </c>
      <c r="C713" t="s">
        <v>374</v>
      </c>
      <c r="D713">
        <v>8</v>
      </c>
      <c r="E713" t="s">
        <v>377</v>
      </c>
      <c r="F713">
        <v>2023</v>
      </c>
      <c r="G713">
        <v>333.51</v>
      </c>
      <c r="H713">
        <v>0.1023</v>
      </c>
      <c r="I713">
        <v>3411.8073000000004</v>
      </c>
      <c r="J713" t="s">
        <v>372</v>
      </c>
    </row>
    <row r="714" spans="1:10" x14ac:dyDescent="0.35">
      <c r="A714" t="s">
        <v>1098</v>
      </c>
      <c r="B714" t="s">
        <v>90</v>
      </c>
      <c r="C714" t="s">
        <v>374</v>
      </c>
      <c r="D714">
        <v>11</v>
      </c>
      <c r="E714" t="s">
        <v>371</v>
      </c>
      <c r="F714">
        <v>2024</v>
      </c>
      <c r="G714">
        <v>326.07</v>
      </c>
      <c r="H714">
        <v>0.58509999999999995</v>
      </c>
      <c r="I714">
        <v>19078.355699999996</v>
      </c>
      <c r="J714" t="s">
        <v>372</v>
      </c>
    </row>
    <row r="715" spans="1:10" x14ac:dyDescent="0.35">
      <c r="A715" t="s">
        <v>1099</v>
      </c>
      <c r="B715" t="s">
        <v>90</v>
      </c>
      <c r="C715" t="s">
        <v>384</v>
      </c>
      <c r="D715">
        <v>3</v>
      </c>
      <c r="E715" t="s">
        <v>391</v>
      </c>
      <c r="F715">
        <v>2024</v>
      </c>
      <c r="G715">
        <v>433.44</v>
      </c>
      <c r="H715">
        <v>0.84570000000000001</v>
      </c>
      <c r="I715">
        <v>36656.020799999998</v>
      </c>
      <c r="J715" t="s">
        <v>372</v>
      </c>
    </row>
    <row r="716" spans="1:10" x14ac:dyDescent="0.35">
      <c r="A716" t="s">
        <v>1100</v>
      </c>
      <c r="B716" t="s">
        <v>342</v>
      </c>
      <c r="C716" t="s">
        <v>374</v>
      </c>
      <c r="D716">
        <v>10</v>
      </c>
      <c r="E716" t="s">
        <v>387</v>
      </c>
      <c r="F716">
        <v>2022</v>
      </c>
      <c r="G716">
        <v>497.44</v>
      </c>
      <c r="H716">
        <v>0.2364</v>
      </c>
      <c r="I716">
        <v>11759.481599999999</v>
      </c>
      <c r="J716" t="s">
        <v>372</v>
      </c>
    </row>
    <row r="717" spans="1:10" x14ac:dyDescent="0.35">
      <c r="A717" t="s">
        <v>1101</v>
      </c>
      <c r="B717" t="s">
        <v>297</v>
      </c>
      <c r="C717" t="s">
        <v>384</v>
      </c>
      <c r="D717">
        <v>8</v>
      </c>
      <c r="E717" t="s">
        <v>377</v>
      </c>
      <c r="F717">
        <v>2023</v>
      </c>
      <c r="G717">
        <v>136.44999999999999</v>
      </c>
      <c r="H717">
        <v>0.37259999999999999</v>
      </c>
      <c r="I717">
        <v>5084.1269999999995</v>
      </c>
      <c r="J717" t="s">
        <v>372</v>
      </c>
    </row>
    <row r="718" spans="1:10" x14ac:dyDescent="0.35">
      <c r="A718" t="s">
        <v>1102</v>
      </c>
      <c r="B718" t="s">
        <v>323</v>
      </c>
      <c r="C718" t="s">
        <v>370</v>
      </c>
      <c r="D718">
        <v>10</v>
      </c>
      <c r="E718" t="s">
        <v>387</v>
      </c>
      <c r="F718">
        <v>2022</v>
      </c>
      <c r="G718">
        <v>188.86</v>
      </c>
      <c r="H718">
        <v>0.60950000000000004</v>
      </c>
      <c r="I718">
        <v>11511.017000000002</v>
      </c>
      <c r="J718" t="s">
        <v>372</v>
      </c>
    </row>
    <row r="719" spans="1:10" x14ac:dyDescent="0.35">
      <c r="A719" t="s">
        <v>1103</v>
      </c>
      <c r="B719" t="s">
        <v>121</v>
      </c>
      <c r="C719" t="s">
        <v>370</v>
      </c>
      <c r="D719">
        <v>12</v>
      </c>
      <c r="E719" t="s">
        <v>487</v>
      </c>
      <c r="F719">
        <v>2022</v>
      </c>
      <c r="G719">
        <v>401</v>
      </c>
      <c r="H719">
        <v>0.54779999999999995</v>
      </c>
      <c r="I719">
        <v>21966.78</v>
      </c>
      <c r="J719" t="s">
        <v>372</v>
      </c>
    </row>
    <row r="720" spans="1:10" x14ac:dyDescent="0.35">
      <c r="A720" t="s">
        <v>1104</v>
      </c>
      <c r="B720" t="s">
        <v>32</v>
      </c>
      <c r="C720" t="s">
        <v>374</v>
      </c>
      <c r="D720">
        <v>1</v>
      </c>
      <c r="E720" t="s">
        <v>381</v>
      </c>
      <c r="F720">
        <v>2022</v>
      </c>
      <c r="G720">
        <v>290.35000000000002</v>
      </c>
      <c r="H720">
        <v>0.56359999999999999</v>
      </c>
      <c r="I720">
        <v>16364.126000000002</v>
      </c>
      <c r="J720" t="s">
        <v>372</v>
      </c>
    </row>
    <row r="721" spans="1:10" x14ac:dyDescent="0.35">
      <c r="A721" t="s">
        <v>1105</v>
      </c>
      <c r="B721" t="s">
        <v>168</v>
      </c>
      <c r="C721" t="s">
        <v>384</v>
      </c>
      <c r="D721">
        <v>9</v>
      </c>
      <c r="E721" t="s">
        <v>403</v>
      </c>
      <c r="F721">
        <v>2023</v>
      </c>
      <c r="G721">
        <v>98.76</v>
      </c>
      <c r="H721">
        <v>0.17319999999999999</v>
      </c>
      <c r="I721">
        <v>1710.5232000000001</v>
      </c>
      <c r="J721" t="s">
        <v>372</v>
      </c>
    </row>
    <row r="722" spans="1:10" x14ac:dyDescent="0.35">
      <c r="A722" t="s">
        <v>1106</v>
      </c>
      <c r="B722" t="s">
        <v>158</v>
      </c>
      <c r="C722" t="s">
        <v>374</v>
      </c>
      <c r="D722">
        <v>2</v>
      </c>
      <c r="E722" t="s">
        <v>389</v>
      </c>
      <c r="F722">
        <v>2022</v>
      </c>
      <c r="G722">
        <v>163.5</v>
      </c>
      <c r="H722">
        <v>0.83389999999999997</v>
      </c>
      <c r="I722">
        <v>13634.264999999999</v>
      </c>
      <c r="J722" t="s">
        <v>372</v>
      </c>
    </row>
    <row r="723" spans="1:10" x14ac:dyDescent="0.35">
      <c r="A723" t="s">
        <v>1107</v>
      </c>
      <c r="B723" t="s">
        <v>188</v>
      </c>
      <c r="C723" t="s">
        <v>374</v>
      </c>
      <c r="D723">
        <v>5</v>
      </c>
      <c r="E723" t="s">
        <v>417</v>
      </c>
      <c r="F723">
        <v>2022</v>
      </c>
      <c r="G723">
        <v>370.19</v>
      </c>
      <c r="H723">
        <v>0.1895</v>
      </c>
      <c r="I723">
        <v>7015.1004999999996</v>
      </c>
      <c r="J723" t="s">
        <v>372</v>
      </c>
    </row>
    <row r="724" spans="1:10" x14ac:dyDescent="0.35">
      <c r="A724" t="s">
        <v>1108</v>
      </c>
      <c r="B724" t="s">
        <v>272</v>
      </c>
      <c r="C724" t="s">
        <v>384</v>
      </c>
      <c r="D724">
        <v>2</v>
      </c>
      <c r="E724" t="s">
        <v>389</v>
      </c>
      <c r="F724">
        <v>2022</v>
      </c>
      <c r="G724">
        <v>201.02</v>
      </c>
      <c r="H724">
        <v>0.27200000000000002</v>
      </c>
      <c r="I724">
        <v>5467.7440000000006</v>
      </c>
      <c r="J724" t="s">
        <v>372</v>
      </c>
    </row>
    <row r="725" spans="1:10" x14ac:dyDescent="0.35">
      <c r="A725" t="s">
        <v>1109</v>
      </c>
      <c r="B725" t="s">
        <v>145</v>
      </c>
      <c r="C725" t="s">
        <v>384</v>
      </c>
      <c r="D725">
        <v>12</v>
      </c>
      <c r="E725" t="s">
        <v>487</v>
      </c>
      <c r="F725">
        <v>2022</v>
      </c>
      <c r="G725">
        <v>32.18</v>
      </c>
      <c r="H725">
        <v>0.41220000000000001</v>
      </c>
      <c r="I725">
        <v>1326.4596000000001</v>
      </c>
      <c r="J725" t="s">
        <v>372</v>
      </c>
    </row>
    <row r="726" spans="1:10" x14ac:dyDescent="0.35">
      <c r="A726" t="s">
        <v>1110</v>
      </c>
      <c r="B726" t="s">
        <v>229</v>
      </c>
      <c r="C726" t="s">
        <v>384</v>
      </c>
      <c r="D726">
        <v>6</v>
      </c>
      <c r="E726" t="s">
        <v>379</v>
      </c>
      <c r="F726">
        <v>2023</v>
      </c>
      <c r="G726">
        <v>493.21</v>
      </c>
      <c r="H726">
        <v>0.83389999999999997</v>
      </c>
      <c r="I726">
        <v>41128.781899999994</v>
      </c>
      <c r="J726" t="s">
        <v>372</v>
      </c>
    </row>
    <row r="727" spans="1:10" x14ac:dyDescent="0.35">
      <c r="A727" t="s">
        <v>1111</v>
      </c>
      <c r="B727" t="s">
        <v>325</v>
      </c>
      <c r="C727" t="s">
        <v>370</v>
      </c>
      <c r="D727">
        <v>8</v>
      </c>
      <c r="E727" t="s">
        <v>377</v>
      </c>
      <c r="F727">
        <v>2024</v>
      </c>
      <c r="G727">
        <v>69.760000000000005</v>
      </c>
      <c r="H727">
        <v>0.67610000000000003</v>
      </c>
      <c r="I727">
        <v>4716.4736000000003</v>
      </c>
      <c r="J727" t="s">
        <v>372</v>
      </c>
    </row>
    <row r="728" spans="1:10" x14ac:dyDescent="0.35">
      <c r="A728" t="s">
        <v>1112</v>
      </c>
      <c r="B728" t="s">
        <v>37</v>
      </c>
      <c r="C728" t="s">
        <v>374</v>
      </c>
      <c r="D728">
        <v>12</v>
      </c>
      <c r="E728" t="s">
        <v>487</v>
      </c>
      <c r="F728">
        <v>2023</v>
      </c>
      <c r="G728">
        <v>74.14</v>
      </c>
      <c r="H728">
        <v>0.66420000000000001</v>
      </c>
      <c r="I728">
        <v>4924.3788000000004</v>
      </c>
      <c r="J728" t="s">
        <v>372</v>
      </c>
    </row>
    <row r="729" spans="1:10" x14ac:dyDescent="0.35">
      <c r="A729" t="s">
        <v>1113</v>
      </c>
      <c r="B729" t="s">
        <v>251</v>
      </c>
      <c r="C729" t="s">
        <v>374</v>
      </c>
      <c r="D729">
        <v>5</v>
      </c>
      <c r="E729" t="s">
        <v>417</v>
      </c>
      <c r="F729">
        <v>2022</v>
      </c>
      <c r="G729">
        <v>452.13</v>
      </c>
      <c r="H729">
        <v>0.71009999999999995</v>
      </c>
      <c r="I729">
        <v>32105.751299999996</v>
      </c>
      <c r="J729" t="s">
        <v>372</v>
      </c>
    </row>
    <row r="730" spans="1:10" x14ac:dyDescent="0.35">
      <c r="A730" t="s">
        <v>1114</v>
      </c>
      <c r="B730" t="s">
        <v>131</v>
      </c>
      <c r="C730" t="s">
        <v>370</v>
      </c>
      <c r="D730">
        <v>2</v>
      </c>
      <c r="E730" t="s">
        <v>389</v>
      </c>
      <c r="F730">
        <v>2024</v>
      </c>
      <c r="G730">
        <v>453.55</v>
      </c>
      <c r="H730">
        <v>0.65069999999999995</v>
      </c>
      <c r="I730">
        <v>29512.498499999998</v>
      </c>
      <c r="J730" t="s">
        <v>372</v>
      </c>
    </row>
    <row r="731" spans="1:10" x14ac:dyDescent="0.35">
      <c r="A731" t="s">
        <v>1115</v>
      </c>
      <c r="B731" t="s">
        <v>292</v>
      </c>
      <c r="C731" t="s">
        <v>384</v>
      </c>
      <c r="D731">
        <v>3</v>
      </c>
      <c r="E731" t="s">
        <v>391</v>
      </c>
      <c r="F731">
        <v>2022</v>
      </c>
      <c r="G731">
        <v>217.64</v>
      </c>
      <c r="H731">
        <v>0.78359999999999996</v>
      </c>
      <c r="I731">
        <v>17054.270399999998</v>
      </c>
      <c r="J731" t="s">
        <v>372</v>
      </c>
    </row>
    <row r="732" spans="1:10" x14ac:dyDescent="0.35">
      <c r="A732" t="s">
        <v>1116</v>
      </c>
      <c r="B732" t="s">
        <v>323</v>
      </c>
      <c r="C732" t="s">
        <v>370</v>
      </c>
      <c r="D732">
        <v>6</v>
      </c>
      <c r="E732" t="s">
        <v>379</v>
      </c>
      <c r="F732">
        <v>2022</v>
      </c>
      <c r="G732">
        <v>201.41</v>
      </c>
      <c r="H732">
        <v>0.3669</v>
      </c>
      <c r="I732">
        <v>7389.7329</v>
      </c>
      <c r="J732" t="s">
        <v>372</v>
      </c>
    </row>
    <row r="733" spans="1:10" x14ac:dyDescent="0.35">
      <c r="A733" t="s">
        <v>1117</v>
      </c>
      <c r="B733" t="s">
        <v>121</v>
      </c>
      <c r="C733" t="s">
        <v>384</v>
      </c>
      <c r="D733">
        <v>9</v>
      </c>
      <c r="E733" t="s">
        <v>403</v>
      </c>
      <c r="F733">
        <v>2024</v>
      </c>
      <c r="G733">
        <v>67.12</v>
      </c>
      <c r="H733">
        <v>0.19839999999999999</v>
      </c>
      <c r="I733">
        <v>1331.6608000000001</v>
      </c>
      <c r="J733" t="s">
        <v>372</v>
      </c>
    </row>
    <row r="734" spans="1:10" x14ac:dyDescent="0.35">
      <c r="A734" t="s">
        <v>1118</v>
      </c>
      <c r="B734" t="s">
        <v>86</v>
      </c>
      <c r="C734" t="s">
        <v>370</v>
      </c>
      <c r="D734">
        <v>5</v>
      </c>
      <c r="E734" t="s">
        <v>417</v>
      </c>
      <c r="F734">
        <v>2022</v>
      </c>
      <c r="G734">
        <v>215.66</v>
      </c>
      <c r="H734">
        <v>0.2606</v>
      </c>
      <c r="I734">
        <v>5620.0995999999996</v>
      </c>
      <c r="J734" t="s">
        <v>372</v>
      </c>
    </row>
    <row r="735" spans="1:10" x14ac:dyDescent="0.35">
      <c r="A735" t="s">
        <v>1119</v>
      </c>
      <c r="B735" t="s">
        <v>21</v>
      </c>
      <c r="C735" t="s">
        <v>374</v>
      </c>
      <c r="D735">
        <v>2</v>
      </c>
      <c r="E735" t="s">
        <v>389</v>
      </c>
      <c r="F735">
        <v>2024</v>
      </c>
      <c r="G735">
        <v>288.44</v>
      </c>
      <c r="H735">
        <v>0.4345</v>
      </c>
      <c r="I735">
        <v>12532.718000000001</v>
      </c>
      <c r="J735" t="s">
        <v>372</v>
      </c>
    </row>
    <row r="736" spans="1:10" x14ac:dyDescent="0.35">
      <c r="A736" t="s">
        <v>1120</v>
      </c>
      <c r="B736" t="s">
        <v>223</v>
      </c>
      <c r="C736" t="s">
        <v>370</v>
      </c>
      <c r="D736">
        <v>11</v>
      </c>
      <c r="E736" t="s">
        <v>371</v>
      </c>
      <c r="F736">
        <v>2024</v>
      </c>
      <c r="G736">
        <v>132.28</v>
      </c>
      <c r="H736">
        <v>0.15079999999999999</v>
      </c>
      <c r="I736">
        <v>1994.7823999999996</v>
      </c>
      <c r="J736" t="s">
        <v>372</v>
      </c>
    </row>
    <row r="737" spans="1:10" x14ac:dyDescent="0.35">
      <c r="A737" t="s">
        <v>1121</v>
      </c>
      <c r="B737" t="s">
        <v>85</v>
      </c>
      <c r="C737" t="s">
        <v>374</v>
      </c>
      <c r="D737">
        <v>2</v>
      </c>
      <c r="E737" t="s">
        <v>389</v>
      </c>
      <c r="F737">
        <v>2023</v>
      </c>
      <c r="G737">
        <v>247.07</v>
      </c>
      <c r="H737">
        <v>0.13600000000000001</v>
      </c>
      <c r="I737">
        <v>3360.152</v>
      </c>
      <c r="J737" t="s">
        <v>372</v>
      </c>
    </row>
    <row r="738" spans="1:10" x14ac:dyDescent="0.35">
      <c r="A738" t="s">
        <v>1122</v>
      </c>
      <c r="B738" t="s">
        <v>253</v>
      </c>
      <c r="C738" t="s">
        <v>370</v>
      </c>
      <c r="D738">
        <v>2</v>
      </c>
      <c r="E738" t="s">
        <v>389</v>
      </c>
      <c r="F738">
        <v>2024</v>
      </c>
      <c r="G738">
        <v>401.07</v>
      </c>
      <c r="H738">
        <v>0.30520000000000003</v>
      </c>
      <c r="I738">
        <v>12240.6564</v>
      </c>
      <c r="J738" t="s">
        <v>372</v>
      </c>
    </row>
    <row r="739" spans="1:10" x14ac:dyDescent="0.35">
      <c r="A739" t="s">
        <v>1123</v>
      </c>
      <c r="B739" t="s">
        <v>247</v>
      </c>
      <c r="C739" t="s">
        <v>384</v>
      </c>
      <c r="D739">
        <v>1</v>
      </c>
      <c r="E739" t="s">
        <v>381</v>
      </c>
      <c r="F739">
        <v>2022</v>
      </c>
      <c r="G739">
        <v>319.33</v>
      </c>
      <c r="H739">
        <v>0.1221</v>
      </c>
      <c r="I739">
        <v>3899.0192999999999</v>
      </c>
      <c r="J739" t="s">
        <v>372</v>
      </c>
    </row>
    <row r="740" spans="1:10" x14ac:dyDescent="0.35">
      <c r="A740" t="s">
        <v>1124</v>
      </c>
      <c r="B740" t="s">
        <v>28</v>
      </c>
      <c r="C740" t="s">
        <v>384</v>
      </c>
      <c r="D740">
        <v>7</v>
      </c>
      <c r="E740" t="s">
        <v>375</v>
      </c>
      <c r="F740">
        <v>2024</v>
      </c>
      <c r="G740">
        <v>277.67</v>
      </c>
      <c r="H740">
        <v>0.6069</v>
      </c>
      <c r="I740">
        <v>16851.792300000001</v>
      </c>
      <c r="J740" t="s">
        <v>372</v>
      </c>
    </row>
    <row r="741" spans="1:10" x14ac:dyDescent="0.35">
      <c r="A741" t="s">
        <v>1125</v>
      </c>
      <c r="B741" t="s">
        <v>211</v>
      </c>
      <c r="C741" t="s">
        <v>384</v>
      </c>
      <c r="D741">
        <v>11</v>
      </c>
      <c r="E741" t="s">
        <v>371</v>
      </c>
      <c r="F741">
        <v>2023</v>
      </c>
      <c r="G741">
        <v>266.11</v>
      </c>
      <c r="H741">
        <v>0.83950000000000002</v>
      </c>
      <c r="I741">
        <v>22339.934499999999</v>
      </c>
      <c r="J741" t="s">
        <v>372</v>
      </c>
    </row>
    <row r="742" spans="1:10" x14ac:dyDescent="0.35">
      <c r="A742" t="s">
        <v>1126</v>
      </c>
      <c r="B742" t="s">
        <v>76</v>
      </c>
      <c r="C742" t="s">
        <v>370</v>
      </c>
      <c r="D742">
        <v>10</v>
      </c>
      <c r="E742" t="s">
        <v>387</v>
      </c>
      <c r="F742">
        <v>2024</v>
      </c>
      <c r="G742">
        <v>146.28</v>
      </c>
      <c r="H742">
        <v>0.5827</v>
      </c>
      <c r="I742">
        <v>8523.7356</v>
      </c>
      <c r="J742" t="s">
        <v>372</v>
      </c>
    </row>
    <row r="743" spans="1:10" x14ac:dyDescent="0.35">
      <c r="A743" t="s">
        <v>1127</v>
      </c>
      <c r="B743" t="s">
        <v>133</v>
      </c>
      <c r="C743" t="s">
        <v>374</v>
      </c>
      <c r="D743">
        <v>9</v>
      </c>
      <c r="E743" t="s">
        <v>403</v>
      </c>
      <c r="F743">
        <v>2024</v>
      </c>
      <c r="G743">
        <v>246.68</v>
      </c>
      <c r="H743">
        <v>0.64739999999999998</v>
      </c>
      <c r="I743">
        <v>15970.063199999999</v>
      </c>
      <c r="J743" t="s">
        <v>372</v>
      </c>
    </row>
    <row r="744" spans="1:10" x14ac:dyDescent="0.35">
      <c r="A744" t="s">
        <v>1128</v>
      </c>
      <c r="B744" t="s">
        <v>127</v>
      </c>
      <c r="C744" t="s">
        <v>384</v>
      </c>
      <c r="D744">
        <v>2</v>
      </c>
      <c r="E744" t="s">
        <v>389</v>
      </c>
      <c r="F744">
        <v>2022</v>
      </c>
      <c r="G744">
        <v>228.1</v>
      </c>
      <c r="H744">
        <v>0.1658</v>
      </c>
      <c r="I744">
        <v>3781.8979999999997</v>
      </c>
      <c r="J744" t="s">
        <v>372</v>
      </c>
    </row>
    <row r="745" spans="1:10" x14ac:dyDescent="0.35">
      <c r="A745" t="s">
        <v>1129</v>
      </c>
      <c r="B745" t="s">
        <v>321</v>
      </c>
      <c r="C745" t="s">
        <v>374</v>
      </c>
      <c r="D745">
        <v>1</v>
      </c>
      <c r="E745" t="s">
        <v>381</v>
      </c>
      <c r="F745">
        <v>2023</v>
      </c>
      <c r="G745">
        <v>222.78</v>
      </c>
      <c r="H745">
        <v>0.26679999999999998</v>
      </c>
      <c r="I745">
        <v>5943.7703999999994</v>
      </c>
      <c r="J745" t="s">
        <v>372</v>
      </c>
    </row>
    <row r="746" spans="1:10" x14ac:dyDescent="0.35">
      <c r="A746" t="s">
        <v>1130</v>
      </c>
      <c r="B746" t="s">
        <v>105</v>
      </c>
      <c r="C746" t="s">
        <v>374</v>
      </c>
      <c r="D746">
        <v>8</v>
      </c>
      <c r="E746" t="s">
        <v>377</v>
      </c>
      <c r="F746">
        <v>2022</v>
      </c>
      <c r="G746">
        <v>86.38</v>
      </c>
      <c r="H746">
        <v>0.81530000000000002</v>
      </c>
      <c r="I746">
        <v>7042.5613999999996</v>
      </c>
      <c r="J746" t="s">
        <v>372</v>
      </c>
    </row>
    <row r="747" spans="1:10" x14ac:dyDescent="0.35">
      <c r="A747" t="s">
        <v>1131</v>
      </c>
      <c r="B747" t="s">
        <v>26</v>
      </c>
      <c r="C747" t="s">
        <v>384</v>
      </c>
      <c r="D747">
        <v>2</v>
      </c>
      <c r="E747" t="s">
        <v>389</v>
      </c>
      <c r="F747">
        <v>2022</v>
      </c>
      <c r="G747">
        <v>477.08</v>
      </c>
      <c r="H747">
        <v>0.3614</v>
      </c>
      <c r="I747">
        <v>17241.671200000001</v>
      </c>
      <c r="J747" t="s">
        <v>372</v>
      </c>
    </row>
    <row r="748" spans="1:10" x14ac:dyDescent="0.35">
      <c r="A748" t="s">
        <v>1132</v>
      </c>
      <c r="B748" t="s">
        <v>5</v>
      </c>
      <c r="C748" t="s">
        <v>384</v>
      </c>
      <c r="D748">
        <v>5</v>
      </c>
      <c r="E748" t="s">
        <v>417</v>
      </c>
      <c r="F748">
        <v>2024</v>
      </c>
      <c r="G748">
        <v>36.65</v>
      </c>
      <c r="H748">
        <v>0.6633</v>
      </c>
      <c r="I748">
        <v>2430.9944999999998</v>
      </c>
      <c r="J748" t="s">
        <v>372</v>
      </c>
    </row>
    <row r="749" spans="1:10" x14ac:dyDescent="0.35">
      <c r="A749" t="s">
        <v>1133</v>
      </c>
      <c r="B749" t="s">
        <v>5</v>
      </c>
      <c r="C749" t="s">
        <v>370</v>
      </c>
      <c r="D749">
        <v>3</v>
      </c>
      <c r="E749" t="s">
        <v>391</v>
      </c>
      <c r="F749">
        <v>2022</v>
      </c>
      <c r="G749">
        <v>213.76</v>
      </c>
      <c r="H749">
        <v>0.51190000000000002</v>
      </c>
      <c r="I749">
        <v>10942.374400000001</v>
      </c>
      <c r="J749" t="s">
        <v>372</v>
      </c>
    </row>
    <row r="750" spans="1:10" x14ac:dyDescent="0.35">
      <c r="A750" t="s">
        <v>1134</v>
      </c>
      <c r="B750" t="s">
        <v>313</v>
      </c>
      <c r="C750" t="s">
        <v>370</v>
      </c>
      <c r="D750">
        <v>1</v>
      </c>
      <c r="E750" t="s">
        <v>381</v>
      </c>
      <c r="F750">
        <v>2024</v>
      </c>
      <c r="G750">
        <v>43.3</v>
      </c>
      <c r="H750">
        <v>0.21329999999999999</v>
      </c>
      <c r="I750">
        <v>923.58899999999994</v>
      </c>
      <c r="J750" t="s">
        <v>372</v>
      </c>
    </row>
    <row r="751" spans="1:10" x14ac:dyDescent="0.35">
      <c r="A751" t="s">
        <v>1135</v>
      </c>
      <c r="B751" t="s">
        <v>121</v>
      </c>
      <c r="C751" t="s">
        <v>374</v>
      </c>
      <c r="D751">
        <v>2</v>
      </c>
      <c r="E751" t="s">
        <v>389</v>
      </c>
      <c r="F751">
        <v>2024</v>
      </c>
      <c r="G751">
        <v>415.49</v>
      </c>
      <c r="H751">
        <v>0.77270000000000005</v>
      </c>
      <c r="I751">
        <v>32104.9123</v>
      </c>
      <c r="J751" t="s">
        <v>372</v>
      </c>
    </row>
    <row r="752" spans="1:10" x14ac:dyDescent="0.35">
      <c r="A752" t="s">
        <v>1136</v>
      </c>
      <c r="B752" t="s">
        <v>148</v>
      </c>
      <c r="C752" t="s">
        <v>384</v>
      </c>
      <c r="D752">
        <v>8</v>
      </c>
      <c r="E752" t="s">
        <v>377</v>
      </c>
      <c r="F752">
        <v>2022</v>
      </c>
      <c r="G752">
        <v>334.86</v>
      </c>
      <c r="H752">
        <v>0.78469999999999995</v>
      </c>
      <c r="I752">
        <v>26276.464199999999</v>
      </c>
      <c r="J752" t="s">
        <v>372</v>
      </c>
    </row>
    <row r="753" spans="1:10" x14ac:dyDescent="0.35">
      <c r="A753" t="s">
        <v>1137</v>
      </c>
      <c r="B753" t="s">
        <v>147</v>
      </c>
      <c r="C753" t="s">
        <v>370</v>
      </c>
      <c r="D753">
        <v>12</v>
      </c>
      <c r="E753" t="s">
        <v>487</v>
      </c>
      <c r="F753">
        <v>2023</v>
      </c>
      <c r="G753">
        <v>316.72000000000003</v>
      </c>
      <c r="H753">
        <v>0.10780000000000001</v>
      </c>
      <c r="I753">
        <v>3414.2416000000003</v>
      </c>
      <c r="J753" t="s">
        <v>372</v>
      </c>
    </row>
    <row r="754" spans="1:10" x14ac:dyDescent="0.35">
      <c r="A754" t="s">
        <v>1138</v>
      </c>
      <c r="B754" t="s">
        <v>117</v>
      </c>
      <c r="C754" t="s">
        <v>374</v>
      </c>
      <c r="D754">
        <v>12</v>
      </c>
      <c r="E754" t="s">
        <v>487</v>
      </c>
      <c r="F754">
        <v>2022</v>
      </c>
      <c r="G754">
        <v>326.51</v>
      </c>
      <c r="H754">
        <v>0.4844</v>
      </c>
      <c r="I754">
        <v>15816.144399999999</v>
      </c>
      <c r="J754" t="s">
        <v>372</v>
      </c>
    </row>
    <row r="755" spans="1:10" x14ac:dyDescent="0.35">
      <c r="A755" t="s">
        <v>1139</v>
      </c>
      <c r="B755" t="s">
        <v>198</v>
      </c>
      <c r="C755" t="s">
        <v>384</v>
      </c>
      <c r="D755">
        <v>9</v>
      </c>
      <c r="E755" t="s">
        <v>403</v>
      </c>
      <c r="F755">
        <v>2024</v>
      </c>
      <c r="G755">
        <v>114.46</v>
      </c>
      <c r="H755">
        <v>0.61409999999999998</v>
      </c>
      <c r="I755">
        <v>7028.9885999999997</v>
      </c>
      <c r="J755" t="s">
        <v>372</v>
      </c>
    </row>
    <row r="756" spans="1:10" x14ac:dyDescent="0.35">
      <c r="A756" t="s">
        <v>1140</v>
      </c>
      <c r="B756" t="s">
        <v>183</v>
      </c>
      <c r="C756" t="s">
        <v>384</v>
      </c>
      <c r="D756">
        <v>8</v>
      </c>
      <c r="E756" t="s">
        <v>377</v>
      </c>
      <c r="F756">
        <v>2024</v>
      </c>
      <c r="G756">
        <v>147.86000000000001</v>
      </c>
      <c r="H756">
        <v>0.54810000000000003</v>
      </c>
      <c r="I756">
        <v>8104.2066000000004</v>
      </c>
      <c r="J756" t="s">
        <v>372</v>
      </c>
    </row>
    <row r="757" spans="1:10" x14ac:dyDescent="0.35">
      <c r="A757" t="s">
        <v>1141</v>
      </c>
      <c r="B757" t="s">
        <v>257</v>
      </c>
      <c r="C757" t="s">
        <v>374</v>
      </c>
      <c r="D757">
        <v>3</v>
      </c>
      <c r="E757" t="s">
        <v>391</v>
      </c>
      <c r="F757">
        <v>2023</v>
      </c>
      <c r="G757">
        <v>96.98</v>
      </c>
      <c r="H757">
        <v>0.2979</v>
      </c>
      <c r="I757">
        <v>2889.0342000000001</v>
      </c>
      <c r="J757" t="s">
        <v>372</v>
      </c>
    </row>
    <row r="758" spans="1:10" x14ac:dyDescent="0.35">
      <c r="A758" t="s">
        <v>1142</v>
      </c>
      <c r="B758" t="s">
        <v>231</v>
      </c>
      <c r="C758" t="s">
        <v>374</v>
      </c>
      <c r="D758">
        <v>4</v>
      </c>
      <c r="E758" t="s">
        <v>394</v>
      </c>
      <c r="F758">
        <v>2024</v>
      </c>
      <c r="G758">
        <v>479.65</v>
      </c>
      <c r="H758">
        <v>0.27389999999999998</v>
      </c>
      <c r="I758">
        <v>13137.613499999998</v>
      </c>
      <c r="J758" t="s">
        <v>372</v>
      </c>
    </row>
    <row r="759" spans="1:10" x14ac:dyDescent="0.35">
      <c r="A759" t="s">
        <v>1143</v>
      </c>
      <c r="B759" t="s">
        <v>308</v>
      </c>
      <c r="C759" t="s">
        <v>374</v>
      </c>
      <c r="D759">
        <v>5</v>
      </c>
      <c r="E759" t="s">
        <v>417</v>
      </c>
      <c r="F759">
        <v>2024</v>
      </c>
      <c r="G759">
        <v>293.29000000000002</v>
      </c>
      <c r="H759">
        <v>0.52959999999999996</v>
      </c>
      <c r="I759">
        <v>15532.6384</v>
      </c>
      <c r="J759" t="s">
        <v>372</v>
      </c>
    </row>
    <row r="760" spans="1:10" x14ac:dyDescent="0.35">
      <c r="A760" t="s">
        <v>1144</v>
      </c>
      <c r="B760" t="s">
        <v>294</v>
      </c>
      <c r="C760" t="s">
        <v>374</v>
      </c>
      <c r="D760">
        <v>12</v>
      </c>
      <c r="E760" t="s">
        <v>487</v>
      </c>
      <c r="F760">
        <v>2024</v>
      </c>
      <c r="G760">
        <v>289.45999999999998</v>
      </c>
      <c r="H760">
        <v>0.71730000000000005</v>
      </c>
      <c r="I760">
        <v>20762.965800000002</v>
      </c>
      <c r="J760" t="s">
        <v>372</v>
      </c>
    </row>
    <row r="761" spans="1:10" x14ac:dyDescent="0.35">
      <c r="A761" t="s">
        <v>1145</v>
      </c>
      <c r="B761" t="s">
        <v>169</v>
      </c>
      <c r="C761" t="s">
        <v>374</v>
      </c>
      <c r="D761">
        <v>10</v>
      </c>
      <c r="E761" t="s">
        <v>387</v>
      </c>
      <c r="F761">
        <v>2022</v>
      </c>
      <c r="G761">
        <v>170.43</v>
      </c>
      <c r="H761">
        <v>0.5837</v>
      </c>
      <c r="I761">
        <v>9947.9990999999991</v>
      </c>
      <c r="J761" t="s">
        <v>372</v>
      </c>
    </row>
    <row r="762" spans="1:10" x14ac:dyDescent="0.35">
      <c r="A762" t="s">
        <v>1146</v>
      </c>
      <c r="B762" t="s">
        <v>294</v>
      </c>
      <c r="C762" t="s">
        <v>374</v>
      </c>
      <c r="D762">
        <v>10</v>
      </c>
      <c r="E762" t="s">
        <v>387</v>
      </c>
      <c r="F762">
        <v>2023</v>
      </c>
      <c r="G762">
        <v>448.49</v>
      </c>
      <c r="H762">
        <v>0.43909999999999999</v>
      </c>
      <c r="I762">
        <v>19693.195899999999</v>
      </c>
      <c r="J762" t="s">
        <v>372</v>
      </c>
    </row>
    <row r="763" spans="1:10" x14ac:dyDescent="0.35">
      <c r="A763" t="s">
        <v>1147</v>
      </c>
      <c r="B763" t="s">
        <v>244</v>
      </c>
      <c r="C763" t="s">
        <v>374</v>
      </c>
      <c r="D763">
        <v>2</v>
      </c>
      <c r="E763" t="s">
        <v>389</v>
      </c>
      <c r="F763">
        <v>2024</v>
      </c>
      <c r="G763">
        <v>0</v>
      </c>
      <c r="H763">
        <v>0.20380000000000001</v>
      </c>
      <c r="I763">
        <v>0</v>
      </c>
      <c r="J763" t="s">
        <v>423</v>
      </c>
    </row>
    <row r="764" spans="1:10" x14ac:dyDescent="0.35">
      <c r="A764" t="s">
        <v>1148</v>
      </c>
      <c r="B764" t="s">
        <v>319</v>
      </c>
      <c r="C764" t="s">
        <v>370</v>
      </c>
      <c r="D764">
        <v>12</v>
      </c>
      <c r="E764" t="s">
        <v>487</v>
      </c>
      <c r="F764">
        <v>2022</v>
      </c>
      <c r="G764">
        <v>304.45999999999998</v>
      </c>
      <c r="H764">
        <v>0.2621</v>
      </c>
      <c r="I764">
        <v>7979.8965999999991</v>
      </c>
      <c r="J764" t="s">
        <v>372</v>
      </c>
    </row>
    <row r="765" spans="1:10" x14ac:dyDescent="0.35">
      <c r="A765" t="s">
        <v>1149</v>
      </c>
      <c r="B765" t="s">
        <v>214</v>
      </c>
      <c r="C765" t="s">
        <v>374</v>
      </c>
      <c r="D765">
        <v>10</v>
      </c>
      <c r="E765" t="s">
        <v>387</v>
      </c>
      <c r="F765">
        <v>2024</v>
      </c>
      <c r="G765">
        <v>8.49</v>
      </c>
      <c r="H765">
        <v>0.75690000000000002</v>
      </c>
      <c r="I765">
        <v>642.60810000000004</v>
      </c>
      <c r="J765" t="s">
        <v>372</v>
      </c>
    </row>
    <row r="766" spans="1:10" x14ac:dyDescent="0.35">
      <c r="A766" t="s">
        <v>1150</v>
      </c>
      <c r="B766" t="s">
        <v>164</v>
      </c>
      <c r="C766" t="s">
        <v>374</v>
      </c>
      <c r="D766">
        <v>11</v>
      </c>
      <c r="E766" t="s">
        <v>371</v>
      </c>
      <c r="F766">
        <v>2022</v>
      </c>
      <c r="G766">
        <v>97.19</v>
      </c>
      <c r="H766">
        <v>0.63580000000000003</v>
      </c>
      <c r="I766">
        <v>6179.3401999999996</v>
      </c>
      <c r="J766" t="s">
        <v>372</v>
      </c>
    </row>
    <row r="767" spans="1:10" x14ac:dyDescent="0.35">
      <c r="A767" t="s">
        <v>1151</v>
      </c>
      <c r="B767" t="s">
        <v>99</v>
      </c>
      <c r="C767" t="s">
        <v>384</v>
      </c>
      <c r="D767">
        <v>10</v>
      </c>
      <c r="E767" t="s">
        <v>387</v>
      </c>
      <c r="F767">
        <v>2024</v>
      </c>
      <c r="G767">
        <v>368.09</v>
      </c>
      <c r="H767">
        <v>0.53220000000000001</v>
      </c>
      <c r="I767">
        <v>19589.749799999998</v>
      </c>
      <c r="J767" t="s">
        <v>372</v>
      </c>
    </row>
    <row r="768" spans="1:10" x14ac:dyDescent="0.35">
      <c r="A768" t="s">
        <v>1152</v>
      </c>
      <c r="B768" t="s">
        <v>131</v>
      </c>
      <c r="C768" t="s">
        <v>374</v>
      </c>
      <c r="D768">
        <v>12</v>
      </c>
      <c r="E768" t="s">
        <v>487</v>
      </c>
      <c r="F768">
        <v>2023</v>
      </c>
      <c r="G768">
        <v>145.21</v>
      </c>
      <c r="H768">
        <v>0.53820000000000001</v>
      </c>
      <c r="I768">
        <v>7815.2022000000006</v>
      </c>
      <c r="J768" t="s">
        <v>372</v>
      </c>
    </row>
    <row r="769" spans="1:10" x14ac:dyDescent="0.35">
      <c r="A769" t="s">
        <v>1153</v>
      </c>
      <c r="B769" t="s">
        <v>307</v>
      </c>
      <c r="C769" t="s">
        <v>370</v>
      </c>
      <c r="D769">
        <v>11</v>
      </c>
      <c r="E769" t="s">
        <v>371</v>
      </c>
      <c r="F769">
        <v>2024</v>
      </c>
      <c r="G769">
        <v>116.92</v>
      </c>
      <c r="H769">
        <v>0.3266</v>
      </c>
      <c r="I769">
        <v>3818.6072000000004</v>
      </c>
      <c r="J769" t="s">
        <v>372</v>
      </c>
    </row>
    <row r="770" spans="1:10" x14ac:dyDescent="0.35">
      <c r="A770" t="s">
        <v>1154</v>
      </c>
      <c r="B770" t="s">
        <v>221</v>
      </c>
      <c r="C770" t="s">
        <v>374</v>
      </c>
      <c r="D770">
        <v>11</v>
      </c>
      <c r="E770" t="s">
        <v>371</v>
      </c>
      <c r="F770">
        <v>2023</v>
      </c>
      <c r="G770">
        <v>428.63</v>
      </c>
      <c r="H770">
        <v>0.48</v>
      </c>
      <c r="I770">
        <v>20574.240000000002</v>
      </c>
      <c r="J770" t="s">
        <v>372</v>
      </c>
    </row>
    <row r="771" spans="1:10" x14ac:dyDescent="0.35">
      <c r="A771" t="s">
        <v>1155</v>
      </c>
      <c r="B771" t="s">
        <v>335</v>
      </c>
      <c r="C771" t="s">
        <v>374</v>
      </c>
      <c r="D771">
        <v>10</v>
      </c>
      <c r="E771" t="s">
        <v>387</v>
      </c>
      <c r="F771">
        <v>2023</v>
      </c>
      <c r="G771">
        <v>245.77</v>
      </c>
      <c r="H771">
        <v>0.81330000000000002</v>
      </c>
      <c r="I771">
        <v>19988.474100000003</v>
      </c>
      <c r="J771" t="s">
        <v>372</v>
      </c>
    </row>
    <row r="772" spans="1:10" x14ac:dyDescent="0.35">
      <c r="A772" t="s">
        <v>1156</v>
      </c>
      <c r="B772" t="s">
        <v>95</v>
      </c>
      <c r="C772" t="s">
        <v>374</v>
      </c>
      <c r="D772">
        <v>7</v>
      </c>
      <c r="E772" t="s">
        <v>375</v>
      </c>
      <c r="F772">
        <v>2024</v>
      </c>
      <c r="G772">
        <v>379.94</v>
      </c>
      <c r="H772">
        <v>0.40989999999999999</v>
      </c>
      <c r="I772">
        <v>15573.740599999999</v>
      </c>
      <c r="J772" t="s">
        <v>372</v>
      </c>
    </row>
    <row r="773" spans="1:10" x14ac:dyDescent="0.35">
      <c r="A773" t="s">
        <v>1157</v>
      </c>
      <c r="B773" t="s">
        <v>138</v>
      </c>
      <c r="C773" t="s">
        <v>374</v>
      </c>
      <c r="D773">
        <v>5</v>
      </c>
      <c r="E773" t="s">
        <v>417</v>
      </c>
      <c r="F773">
        <v>2023</v>
      </c>
      <c r="G773">
        <v>449.25</v>
      </c>
      <c r="H773">
        <v>0.20469999999999999</v>
      </c>
      <c r="I773">
        <v>9196.1474999999991</v>
      </c>
      <c r="J773" t="s">
        <v>372</v>
      </c>
    </row>
    <row r="774" spans="1:10" x14ac:dyDescent="0.35">
      <c r="A774" t="s">
        <v>1158</v>
      </c>
      <c r="B774" t="s">
        <v>313</v>
      </c>
      <c r="C774" t="s">
        <v>374</v>
      </c>
      <c r="D774">
        <v>10</v>
      </c>
      <c r="E774" t="s">
        <v>387</v>
      </c>
      <c r="F774">
        <v>2022</v>
      </c>
      <c r="G774">
        <v>0</v>
      </c>
      <c r="H774">
        <v>0.35770000000000002</v>
      </c>
      <c r="I774">
        <v>0</v>
      </c>
      <c r="J774" t="s">
        <v>423</v>
      </c>
    </row>
    <row r="775" spans="1:10" x14ac:dyDescent="0.35">
      <c r="A775" t="s">
        <v>1159</v>
      </c>
      <c r="B775" t="s">
        <v>138</v>
      </c>
      <c r="C775" t="s">
        <v>370</v>
      </c>
      <c r="D775">
        <v>11</v>
      </c>
      <c r="E775" t="s">
        <v>371</v>
      </c>
      <c r="F775">
        <v>2024</v>
      </c>
      <c r="G775">
        <v>373.06</v>
      </c>
      <c r="H775">
        <v>0.66959999999999997</v>
      </c>
      <c r="I775">
        <v>24980.097600000001</v>
      </c>
      <c r="J775" t="s">
        <v>372</v>
      </c>
    </row>
    <row r="776" spans="1:10" x14ac:dyDescent="0.35">
      <c r="A776" t="s">
        <v>1160</v>
      </c>
      <c r="B776" t="s">
        <v>147</v>
      </c>
      <c r="C776" t="s">
        <v>370</v>
      </c>
      <c r="D776">
        <v>11</v>
      </c>
      <c r="E776" t="s">
        <v>371</v>
      </c>
      <c r="F776">
        <v>2023</v>
      </c>
      <c r="G776">
        <v>106.73</v>
      </c>
      <c r="H776">
        <v>0.53539999999999999</v>
      </c>
      <c r="I776">
        <v>5714.3242</v>
      </c>
      <c r="J776" t="s">
        <v>372</v>
      </c>
    </row>
    <row r="777" spans="1:10" x14ac:dyDescent="0.35">
      <c r="A777" t="s">
        <v>1161</v>
      </c>
      <c r="B777" t="s">
        <v>308</v>
      </c>
      <c r="C777" t="s">
        <v>384</v>
      </c>
      <c r="D777">
        <v>12</v>
      </c>
      <c r="E777" t="s">
        <v>487</v>
      </c>
      <c r="F777">
        <v>2022</v>
      </c>
      <c r="G777">
        <v>180.45</v>
      </c>
      <c r="H777">
        <v>0.10340000000000001</v>
      </c>
      <c r="I777">
        <v>1865.8529999999998</v>
      </c>
      <c r="J777" t="s">
        <v>372</v>
      </c>
    </row>
    <row r="778" spans="1:10" x14ac:dyDescent="0.35">
      <c r="A778" t="s">
        <v>1162</v>
      </c>
      <c r="B778" t="s">
        <v>188</v>
      </c>
      <c r="C778" t="s">
        <v>374</v>
      </c>
      <c r="D778">
        <v>7</v>
      </c>
      <c r="E778" t="s">
        <v>375</v>
      </c>
      <c r="F778">
        <v>2024</v>
      </c>
      <c r="G778">
        <v>241.44</v>
      </c>
      <c r="H778">
        <v>0.82820000000000005</v>
      </c>
      <c r="I778">
        <v>19996.060799999999</v>
      </c>
      <c r="J778" t="s">
        <v>372</v>
      </c>
    </row>
    <row r="779" spans="1:10" x14ac:dyDescent="0.35">
      <c r="A779" t="s">
        <v>1163</v>
      </c>
      <c r="B779" t="s">
        <v>110</v>
      </c>
      <c r="C779" t="s">
        <v>374</v>
      </c>
      <c r="D779">
        <v>12</v>
      </c>
      <c r="E779" t="s">
        <v>487</v>
      </c>
      <c r="F779">
        <v>2024</v>
      </c>
      <c r="G779">
        <v>412.05</v>
      </c>
      <c r="H779">
        <v>0.55369999999999997</v>
      </c>
      <c r="I779">
        <v>22815.208500000001</v>
      </c>
      <c r="J779" t="s">
        <v>372</v>
      </c>
    </row>
    <row r="780" spans="1:10" x14ac:dyDescent="0.35">
      <c r="A780" t="s">
        <v>1164</v>
      </c>
      <c r="B780" t="s">
        <v>52</v>
      </c>
      <c r="C780" t="s">
        <v>384</v>
      </c>
      <c r="D780">
        <v>10</v>
      </c>
      <c r="E780" t="s">
        <v>387</v>
      </c>
      <c r="F780">
        <v>2024</v>
      </c>
      <c r="G780">
        <v>97.34</v>
      </c>
      <c r="H780">
        <v>0.60409999999999997</v>
      </c>
      <c r="I780">
        <v>5880.3094000000001</v>
      </c>
      <c r="J780" t="s">
        <v>372</v>
      </c>
    </row>
    <row r="781" spans="1:10" x14ac:dyDescent="0.35">
      <c r="A781" t="s">
        <v>1165</v>
      </c>
      <c r="B781" t="s">
        <v>66</v>
      </c>
      <c r="C781" t="s">
        <v>370</v>
      </c>
      <c r="D781">
        <v>5</v>
      </c>
      <c r="E781" t="s">
        <v>417</v>
      </c>
      <c r="F781">
        <v>2023</v>
      </c>
      <c r="G781">
        <v>21.34</v>
      </c>
      <c r="H781">
        <v>0.83860000000000001</v>
      </c>
      <c r="I781">
        <v>1789.5724</v>
      </c>
      <c r="J781" t="s">
        <v>372</v>
      </c>
    </row>
    <row r="782" spans="1:10" x14ac:dyDescent="0.35">
      <c r="A782" t="s">
        <v>1166</v>
      </c>
      <c r="B782" t="s">
        <v>273</v>
      </c>
      <c r="C782" t="s">
        <v>370</v>
      </c>
      <c r="D782">
        <v>2</v>
      </c>
      <c r="E782" t="s">
        <v>389</v>
      </c>
      <c r="F782">
        <v>2024</v>
      </c>
      <c r="G782">
        <v>276.22000000000003</v>
      </c>
      <c r="H782">
        <v>0.47039999999999998</v>
      </c>
      <c r="I782">
        <v>12993.388799999999</v>
      </c>
      <c r="J782" t="s">
        <v>372</v>
      </c>
    </row>
    <row r="783" spans="1:10" x14ac:dyDescent="0.35">
      <c r="A783" t="s">
        <v>1167</v>
      </c>
      <c r="B783" t="s">
        <v>299</v>
      </c>
      <c r="C783" t="s">
        <v>370</v>
      </c>
      <c r="D783">
        <v>10</v>
      </c>
      <c r="E783" t="s">
        <v>387</v>
      </c>
      <c r="F783">
        <v>2024</v>
      </c>
      <c r="G783">
        <v>0</v>
      </c>
      <c r="H783">
        <v>0.77249999999999996</v>
      </c>
      <c r="I783">
        <v>0</v>
      </c>
      <c r="J783" t="s">
        <v>423</v>
      </c>
    </row>
    <row r="784" spans="1:10" x14ac:dyDescent="0.35">
      <c r="A784" t="s">
        <v>1168</v>
      </c>
      <c r="B784" t="s">
        <v>223</v>
      </c>
      <c r="C784" t="s">
        <v>384</v>
      </c>
      <c r="D784">
        <v>3</v>
      </c>
      <c r="E784" t="s">
        <v>391</v>
      </c>
      <c r="F784">
        <v>2022</v>
      </c>
      <c r="G784">
        <v>371.32</v>
      </c>
      <c r="H784">
        <v>0.66420000000000001</v>
      </c>
      <c r="I784">
        <v>24663.074399999998</v>
      </c>
      <c r="J784" t="s">
        <v>372</v>
      </c>
    </row>
    <row r="785" spans="1:10" x14ac:dyDescent="0.35">
      <c r="A785" t="s">
        <v>1169</v>
      </c>
      <c r="B785" t="s">
        <v>35</v>
      </c>
      <c r="C785" t="s">
        <v>384</v>
      </c>
      <c r="D785">
        <v>9</v>
      </c>
      <c r="E785" t="s">
        <v>403</v>
      </c>
      <c r="F785">
        <v>2022</v>
      </c>
      <c r="G785">
        <v>238.29</v>
      </c>
      <c r="H785">
        <v>0.48980000000000001</v>
      </c>
      <c r="I785">
        <v>11671.4442</v>
      </c>
      <c r="J785" t="s">
        <v>372</v>
      </c>
    </row>
    <row r="786" spans="1:10" x14ac:dyDescent="0.35">
      <c r="A786" t="s">
        <v>1170</v>
      </c>
      <c r="B786" t="s">
        <v>135</v>
      </c>
      <c r="C786" t="s">
        <v>370</v>
      </c>
      <c r="D786">
        <v>4</v>
      </c>
      <c r="E786" t="s">
        <v>394</v>
      </c>
      <c r="F786">
        <v>2022</v>
      </c>
      <c r="G786">
        <v>439.8</v>
      </c>
      <c r="H786">
        <v>0.60909999999999997</v>
      </c>
      <c r="I786">
        <v>26788.218000000001</v>
      </c>
      <c r="J786" t="s">
        <v>372</v>
      </c>
    </row>
    <row r="787" spans="1:10" x14ac:dyDescent="0.35">
      <c r="A787" t="s">
        <v>1171</v>
      </c>
      <c r="B787" t="s">
        <v>304</v>
      </c>
      <c r="C787" t="s">
        <v>384</v>
      </c>
      <c r="D787">
        <v>8</v>
      </c>
      <c r="E787" t="s">
        <v>377</v>
      </c>
      <c r="F787">
        <v>2022</v>
      </c>
      <c r="G787">
        <v>474.09</v>
      </c>
      <c r="H787">
        <v>0.61229999999999996</v>
      </c>
      <c r="I787">
        <v>29028.530699999999</v>
      </c>
      <c r="J787" t="s">
        <v>372</v>
      </c>
    </row>
    <row r="788" spans="1:10" x14ac:dyDescent="0.35">
      <c r="A788" t="s">
        <v>1172</v>
      </c>
      <c r="B788" t="s">
        <v>274</v>
      </c>
      <c r="C788" t="s">
        <v>384</v>
      </c>
      <c r="D788">
        <v>1</v>
      </c>
      <c r="E788" t="s">
        <v>381</v>
      </c>
      <c r="F788">
        <v>2024</v>
      </c>
      <c r="G788">
        <v>310.70999999999998</v>
      </c>
      <c r="H788">
        <v>0.56579999999999997</v>
      </c>
      <c r="I788">
        <v>17579.971799999999</v>
      </c>
      <c r="J788" t="s">
        <v>372</v>
      </c>
    </row>
    <row r="789" spans="1:10" x14ac:dyDescent="0.35">
      <c r="A789" t="s">
        <v>1173</v>
      </c>
      <c r="B789" t="s">
        <v>241</v>
      </c>
      <c r="C789" t="s">
        <v>374</v>
      </c>
      <c r="D789">
        <v>7</v>
      </c>
      <c r="E789" t="s">
        <v>375</v>
      </c>
      <c r="F789">
        <v>2024</v>
      </c>
      <c r="G789">
        <v>410.96</v>
      </c>
      <c r="H789">
        <v>0.37990000000000002</v>
      </c>
      <c r="I789">
        <v>15612.3704</v>
      </c>
      <c r="J789" t="s">
        <v>372</v>
      </c>
    </row>
    <row r="790" spans="1:10" x14ac:dyDescent="0.35">
      <c r="A790" t="s">
        <v>1174</v>
      </c>
      <c r="B790" t="s">
        <v>90</v>
      </c>
      <c r="C790" t="s">
        <v>370</v>
      </c>
      <c r="D790">
        <v>2</v>
      </c>
      <c r="E790" t="s">
        <v>389</v>
      </c>
      <c r="F790">
        <v>2024</v>
      </c>
      <c r="G790">
        <v>371.63</v>
      </c>
      <c r="H790">
        <v>0.52659999999999996</v>
      </c>
      <c r="I790">
        <v>19570.035799999998</v>
      </c>
      <c r="J790" t="s">
        <v>372</v>
      </c>
    </row>
    <row r="791" spans="1:10" x14ac:dyDescent="0.35">
      <c r="A791" t="s">
        <v>1175</v>
      </c>
      <c r="B791" t="s">
        <v>80</v>
      </c>
      <c r="C791" t="s">
        <v>370</v>
      </c>
      <c r="D791">
        <v>8</v>
      </c>
      <c r="E791" t="s">
        <v>377</v>
      </c>
      <c r="F791">
        <v>2024</v>
      </c>
      <c r="G791">
        <v>32.04</v>
      </c>
      <c r="H791">
        <v>0.74650000000000005</v>
      </c>
      <c r="I791">
        <v>2391.7860000000001</v>
      </c>
      <c r="J791" t="s">
        <v>372</v>
      </c>
    </row>
    <row r="792" spans="1:10" x14ac:dyDescent="0.35">
      <c r="A792" t="s">
        <v>1176</v>
      </c>
      <c r="B792" t="s">
        <v>214</v>
      </c>
      <c r="C792" t="s">
        <v>370</v>
      </c>
      <c r="D792">
        <v>12</v>
      </c>
      <c r="E792" t="s">
        <v>487</v>
      </c>
      <c r="F792">
        <v>2023</v>
      </c>
      <c r="G792">
        <v>399.25</v>
      </c>
      <c r="H792">
        <v>0.62039999999999995</v>
      </c>
      <c r="I792">
        <v>24769.469999999998</v>
      </c>
      <c r="J792" t="s">
        <v>372</v>
      </c>
    </row>
    <row r="793" spans="1:10" x14ac:dyDescent="0.35">
      <c r="A793" t="s">
        <v>1177</v>
      </c>
      <c r="B793" t="s">
        <v>72</v>
      </c>
      <c r="C793" t="s">
        <v>374</v>
      </c>
      <c r="D793">
        <v>8</v>
      </c>
      <c r="E793" t="s">
        <v>377</v>
      </c>
      <c r="F793">
        <v>2023</v>
      </c>
      <c r="G793">
        <v>13.73</v>
      </c>
      <c r="H793">
        <v>0.38100000000000001</v>
      </c>
      <c r="I793">
        <v>523.11300000000006</v>
      </c>
      <c r="J793" t="s">
        <v>372</v>
      </c>
    </row>
    <row r="794" spans="1:10" x14ac:dyDescent="0.35">
      <c r="A794" t="s">
        <v>1178</v>
      </c>
      <c r="B794" t="s">
        <v>160</v>
      </c>
      <c r="C794" t="s">
        <v>370</v>
      </c>
      <c r="D794">
        <v>12</v>
      </c>
      <c r="E794" t="s">
        <v>487</v>
      </c>
      <c r="F794">
        <v>2022</v>
      </c>
      <c r="G794">
        <v>342.38</v>
      </c>
      <c r="H794">
        <v>0.84140000000000004</v>
      </c>
      <c r="I794">
        <v>28807.853199999998</v>
      </c>
      <c r="J794" t="s">
        <v>372</v>
      </c>
    </row>
    <row r="795" spans="1:10" x14ac:dyDescent="0.35">
      <c r="A795" t="s">
        <v>1179</v>
      </c>
      <c r="B795" t="s">
        <v>214</v>
      </c>
      <c r="C795" t="s">
        <v>374</v>
      </c>
      <c r="D795">
        <v>6</v>
      </c>
      <c r="E795" t="s">
        <v>379</v>
      </c>
      <c r="F795">
        <v>2023</v>
      </c>
      <c r="G795">
        <v>192.14</v>
      </c>
      <c r="H795">
        <v>0.67310000000000003</v>
      </c>
      <c r="I795">
        <v>12932.9434</v>
      </c>
      <c r="J795" t="s">
        <v>372</v>
      </c>
    </row>
    <row r="796" spans="1:10" x14ac:dyDescent="0.35">
      <c r="A796" t="s">
        <v>1180</v>
      </c>
      <c r="B796" t="s">
        <v>216</v>
      </c>
      <c r="C796" t="s">
        <v>374</v>
      </c>
      <c r="D796">
        <v>12</v>
      </c>
      <c r="E796" t="s">
        <v>487</v>
      </c>
      <c r="F796">
        <v>2024</v>
      </c>
      <c r="G796">
        <v>134.71</v>
      </c>
      <c r="H796">
        <v>0.6744</v>
      </c>
      <c r="I796">
        <v>9084.8424000000014</v>
      </c>
      <c r="J796" t="s">
        <v>372</v>
      </c>
    </row>
    <row r="797" spans="1:10" x14ac:dyDescent="0.35">
      <c r="A797" t="s">
        <v>1181</v>
      </c>
      <c r="B797" t="s">
        <v>279</v>
      </c>
      <c r="C797" t="s">
        <v>370</v>
      </c>
      <c r="D797">
        <v>2</v>
      </c>
      <c r="E797" t="s">
        <v>389</v>
      </c>
      <c r="F797">
        <v>2024</v>
      </c>
      <c r="G797">
        <v>431.26</v>
      </c>
      <c r="H797">
        <v>0.40810000000000002</v>
      </c>
      <c r="I797">
        <v>17599.720600000001</v>
      </c>
      <c r="J797" t="s">
        <v>372</v>
      </c>
    </row>
    <row r="798" spans="1:10" x14ac:dyDescent="0.35">
      <c r="A798" t="s">
        <v>1182</v>
      </c>
      <c r="B798" t="s">
        <v>316</v>
      </c>
      <c r="C798" t="s">
        <v>370</v>
      </c>
      <c r="D798">
        <v>1</v>
      </c>
      <c r="E798" t="s">
        <v>381</v>
      </c>
      <c r="F798">
        <v>2024</v>
      </c>
      <c r="G798">
        <v>432.01</v>
      </c>
      <c r="H798">
        <v>0.74929999999999997</v>
      </c>
      <c r="I798">
        <v>32370.509299999998</v>
      </c>
      <c r="J798" t="s">
        <v>372</v>
      </c>
    </row>
    <row r="799" spans="1:10" x14ac:dyDescent="0.35">
      <c r="A799" t="s">
        <v>1183</v>
      </c>
      <c r="B799" t="s">
        <v>344</v>
      </c>
      <c r="C799" t="s">
        <v>374</v>
      </c>
      <c r="D799">
        <v>4</v>
      </c>
      <c r="E799" t="s">
        <v>394</v>
      </c>
      <c r="F799">
        <v>2022</v>
      </c>
      <c r="G799">
        <v>80.180000000000007</v>
      </c>
      <c r="H799">
        <v>0.74680000000000002</v>
      </c>
      <c r="I799">
        <v>5987.8424000000014</v>
      </c>
      <c r="J799" t="s">
        <v>372</v>
      </c>
    </row>
    <row r="800" spans="1:10" x14ac:dyDescent="0.35">
      <c r="A800" t="s">
        <v>1184</v>
      </c>
      <c r="B800" t="s">
        <v>214</v>
      </c>
      <c r="C800" t="s">
        <v>384</v>
      </c>
      <c r="D800">
        <v>3</v>
      </c>
      <c r="E800" t="s">
        <v>391</v>
      </c>
      <c r="F800">
        <v>2024</v>
      </c>
      <c r="G800">
        <v>275.39</v>
      </c>
      <c r="H800">
        <v>0.44059999999999999</v>
      </c>
      <c r="I800">
        <v>12133.6834</v>
      </c>
      <c r="J800" t="s">
        <v>372</v>
      </c>
    </row>
    <row r="801" spans="1:10" x14ac:dyDescent="0.35">
      <c r="A801" t="s">
        <v>1185</v>
      </c>
      <c r="B801" t="s">
        <v>276</v>
      </c>
      <c r="C801" t="s">
        <v>374</v>
      </c>
      <c r="D801">
        <v>4</v>
      </c>
      <c r="E801" t="s">
        <v>394</v>
      </c>
      <c r="F801">
        <v>2024</v>
      </c>
      <c r="G801">
        <v>312.01</v>
      </c>
      <c r="H801">
        <v>0.77259999999999995</v>
      </c>
      <c r="I801">
        <v>24105.892599999999</v>
      </c>
      <c r="J801" t="s">
        <v>372</v>
      </c>
    </row>
    <row r="802" spans="1:10" x14ac:dyDescent="0.35">
      <c r="A802" t="s">
        <v>1186</v>
      </c>
      <c r="B802" t="s">
        <v>169</v>
      </c>
      <c r="C802" t="s">
        <v>374</v>
      </c>
      <c r="D802">
        <v>11</v>
      </c>
      <c r="E802" t="s">
        <v>371</v>
      </c>
      <c r="F802">
        <v>2024</v>
      </c>
      <c r="G802">
        <v>83.15</v>
      </c>
      <c r="H802">
        <v>0.39810000000000001</v>
      </c>
      <c r="I802">
        <v>3310.2015000000001</v>
      </c>
      <c r="J802" t="s">
        <v>372</v>
      </c>
    </row>
    <row r="803" spans="1:10" x14ac:dyDescent="0.35">
      <c r="A803" t="s">
        <v>1187</v>
      </c>
      <c r="B803" t="s">
        <v>164</v>
      </c>
      <c r="C803" t="s">
        <v>384</v>
      </c>
      <c r="D803">
        <v>9</v>
      </c>
      <c r="E803" t="s">
        <v>403</v>
      </c>
      <c r="F803">
        <v>2024</v>
      </c>
      <c r="G803">
        <v>432.48</v>
      </c>
      <c r="H803">
        <v>0.26229999999999998</v>
      </c>
      <c r="I803">
        <v>11343.9504</v>
      </c>
      <c r="J803" t="s">
        <v>372</v>
      </c>
    </row>
    <row r="804" spans="1:10" x14ac:dyDescent="0.35">
      <c r="A804" t="s">
        <v>1188</v>
      </c>
      <c r="B804" t="s">
        <v>129</v>
      </c>
      <c r="C804" t="s">
        <v>370</v>
      </c>
      <c r="D804">
        <v>1</v>
      </c>
      <c r="E804" t="s">
        <v>381</v>
      </c>
      <c r="F804">
        <v>2022</v>
      </c>
      <c r="G804">
        <v>107.56</v>
      </c>
      <c r="H804">
        <v>0.37630000000000002</v>
      </c>
      <c r="I804">
        <v>4047.4828000000002</v>
      </c>
      <c r="J804" t="s">
        <v>372</v>
      </c>
    </row>
    <row r="805" spans="1:10" x14ac:dyDescent="0.35">
      <c r="A805" t="s">
        <v>1189</v>
      </c>
      <c r="B805" t="s">
        <v>190</v>
      </c>
      <c r="C805" t="s">
        <v>370</v>
      </c>
      <c r="D805">
        <v>4</v>
      </c>
      <c r="E805" t="s">
        <v>394</v>
      </c>
      <c r="F805">
        <v>2023</v>
      </c>
      <c r="G805">
        <v>429.82</v>
      </c>
      <c r="H805">
        <v>0.77110000000000001</v>
      </c>
      <c r="I805">
        <v>33143.4202</v>
      </c>
      <c r="J805" t="s">
        <v>372</v>
      </c>
    </row>
    <row r="806" spans="1:10" x14ac:dyDescent="0.35">
      <c r="A806" t="s">
        <v>1190</v>
      </c>
      <c r="B806" t="s">
        <v>206</v>
      </c>
      <c r="C806" t="s">
        <v>384</v>
      </c>
      <c r="D806">
        <v>10</v>
      </c>
      <c r="E806" t="s">
        <v>387</v>
      </c>
      <c r="F806">
        <v>2024</v>
      </c>
      <c r="G806">
        <v>0</v>
      </c>
      <c r="H806">
        <v>0.6522</v>
      </c>
      <c r="I806">
        <v>0</v>
      </c>
      <c r="J806" t="s">
        <v>423</v>
      </c>
    </row>
    <row r="807" spans="1:10" x14ac:dyDescent="0.35">
      <c r="A807" t="s">
        <v>1191</v>
      </c>
      <c r="B807" t="s">
        <v>43</v>
      </c>
      <c r="C807" t="s">
        <v>374</v>
      </c>
      <c r="D807">
        <v>1</v>
      </c>
      <c r="E807" t="s">
        <v>381</v>
      </c>
      <c r="F807">
        <v>2023</v>
      </c>
      <c r="G807">
        <v>195.61</v>
      </c>
      <c r="H807">
        <v>0.65159999999999996</v>
      </c>
      <c r="I807">
        <v>12745.9476</v>
      </c>
      <c r="J807" t="s">
        <v>372</v>
      </c>
    </row>
    <row r="808" spans="1:10" x14ac:dyDescent="0.35">
      <c r="A808" t="s">
        <v>1192</v>
      </c>
      <c r="B808" t="s">
        <v>244</v>
      </c>
      <c r="C808" t="s">
        <v>384</v>
      </c>
      <c r="D808">
        <v>8</v>
      </c>
      <c r="E808" t="s">
        <v>377</v>
      </c>
      <c r="F808">
        <v>2022</v>
      </c>
      <c r="G808">
        <v>98.78</v>
      </c>
      <c r="H808">
        <v>0.84440000000000004</v>
      </c>
      <c r="I808">
        <v>8340.9832000000006</v>
      </c>
      <c r="J808" t="s">
        <v>372</v>
      </c>
    </row>
    <row r="809" spans="1:10" x14ac:dyDescent="0.35">
      <c r="A809" t="s">
        <v>1193</v>
      </c>
      <c r="B809" t="s">
        <v>70</v>
      </c>
      <c r="C809" t="s">
        <v>384</v>
      </c>
      <c r="D809">
        <v>1</v>
      </c>
      <c r="E809" t="s">
        <v>381</v>
      </c>
      <c r="F809">
        <v>2024</v>
      </c>
      <c r="G809">
        <v>168.87</v>
      </c>
      <c r="H809">
        <v>0.38159999999999999</v>
      </c>
      <c r="I809">
        <v>6444.0792000000001</v>
      </c>
      <c r="J809" t="s">
        <v>372</v>
      </c>
    </row>
    <row r="810" spans="1:10" x14ac:dyDescent="0.35">
      <c r="A810" t="s">
        <v>1194</v>
      </c>
      <c r="B810" t="s">
        <v>32</v>
      </c>
      <c r="C810" t="s">
        <v>384</v>
      </c>
      <c r="D810">
        <v>5</v>
      </c>
      <c r="E810" t="s">
        <v>417</v>
      </c>
      <c r="F810">
        <v>2022</v>
      </c>
      <c r="G810">
        <v>234.09</v>
      </c>
      <c r="H810">
        <v>0.65690000000000004</v>
      </c>
      <c r="I810">
        <v>15377.372100000002</v>
      </c>
      <c r="J810" t="s">
        <v>372</v>
      </c>
    </row>
    <row r="811" spans="1:10" x14ac:dyDescent="0.35">
      <c r="A811" t="s">
        <v>1195</v>
      </c>
      <c r="B811" t="s">
        <v>92</v>
      </c>
      <c r="C811" t="s">
        <v>374</v>
      </c>
      <c r="D811">
        <v>4</v>
      </c>
      <c r="E811" t="s">
        <v>394</v>
      </c>
      <c r="F811">
        <v>2022</v>
      </c>
      <c r="G811">
        <v>378.67</v>
      </c>
      <c r="H811">
        <v>0.38879999999999998</v>
      </c>
      <c r="I811">
        <v>14722.689600000002</v>
      </c>
      <c r="J811" t="s">
        <v>372</v>
      </c>
    </row>
    <row r="812" spans="1:10" x14ac:dyDescent="0.35">
      <c r="A812" t="s">
        <v>1196</v>
      </c>
      <c r="B812" t="s">
        <v>292</v>
      </c>
      <c r="C812" t="s">
        <v>370</v>
      </c>
      <c r="D812">
        <v>1</v>
      </c>
      <c r="E812" t="s">
        <v>381</v>
      </c>
      <c r="F812">
        <v>2024</v>
      </c>
      <c r="G812">
        <v>280.27999999999997</v>
      </c>
      <c r="H812">
        <v>0.18590000000000001</v>
      </c>
      <c r="I812">
        <v>5210.4051999999992</v>
      </c>
      <c r="J812" t="s">
        <v>372</v>
      </c>
    </row>
    <row r="813" spans="1:10" x14ac:dyDescent="0.35">
      <c r="A813" t="s">
        <v>1197</v>
      </c>
      <c r="B813" t="s">
        <v>309</v>
      </c>
      <c r="C813" t="s">
        <v>370</v>
      </c>
      <c r="D813">
        <v>12</v>
      </c>
      <c r="E813" t="s">
        <v>487</v>
      </c>
      <c r="F813">
        <v>2023</v>
      </c>
      <c r="G813">
        <v>390.35</v>
      </c>
      <c r="H813">
        <v>0.55589999999999995</v>
      </c>
      <c r="I813">
        <v>21699.556499999999</v>
      </c>
      <c r="J813" t="s">
        <v>372</v>
      </c>
    </row>
    <row r="814" spans="1:10" x14ac:dyDescent="0.35">
      <c r="A814" t="s">
        <v>1198</v>
      </c>
      <c r="B814" t="s">
        <v>219</v>
      </c>
      <c r="C814" t="s">
        <v>374</v>
      </c>
      <c r="D814">
        <v>9</v>
      </c>
      <c r="E814" t="s">
        <v>403</v>
      </c>
      <c r="F814">
        <v>2023</v>
      </c>
      <c r="G814">
        <v>48.8</v>
      </c>
      <c r="H814">
        <v>0.70120000000000005</v>
      </c>
      <c r="I814">
        <v>3421.8560000000002</v>
      </c>
      <c r="J814" t="s">
        <v>372</v>
      </c>
    </row>
    <row r="815" spans="1:10" x14ac:dyDescent="0.35">
      <c r="A815" t="s">
        <v>1199</v>
      </c>
      <c r="B815" t="s">
        <v>41</v>
      </c>
      <c r="C815" t="s">
        <v>370</v>
      </c>
      <c r="D815">
        <v>1</v>
      </c>
      <c r="E815" t="s">
        <v>381</v>
      </c>
      <c r="F815">
        <v>2024</v>
      </c>
      <c r="G815">
        <v>315.67</v>
      </c>
      <c r="H815">
        <v>0.50860000000000005</v>
      </c>
      <c r="I815">
        <v>16054.976200000001</v>
      </c>
      <c r="J815" t="s">
        <v>372</v>
      </c>
    </row>
    <row r="816" spans="1:10" x14ac:dyDescent="0.35">
      <c r="A816" t="s">
        <v>1200</v>
      </c>
      <c r="B816" t="s">
        <v>93</v>
      </c>
      <c r="C816" t="s">
        <v>384</v>
      </c>
      <c r="D816">
        <v>8</v>
      </c>
      <c r="E816" t="s">
        <v>377</v>
      </c>
      <c r="F816">
        <v>2023</v>
      </c>
      <c r="G816">
        <v>91.15</v>
      </c>
      <c r="H816">
        <v>0.1578</v>
      </c>
      <c r="I816">
        <v>1438.347</v>
      </c>
      <c r="J816" t="s">
        <v>372</v>
      </c>
    </row>
    <row r="817" spans="1:10" x14ac:dyDescent="0.35">
      <c r="A817" t="s">
        <v>1201</v>
      </c>
      <c r="B817" t="s">
        <v>250</v>
      </c>
      <c r="C817" t="s">
        <v>384</v>
      </c>
      <c r="D817">
        <v>2</v>
      </c>
      <c r="E817" t="s">
        <v>389</v>
      </c>
      <c r="F817">
        <v>2022</v>
      </c>
      <c r="G817">
        <v>0</v>
      </c>
      <c r="H817">
        <v>0.16819999999999999</v>
      </c>
      <c r="I817">
        <v>0</v>
      </c>
      <c r="J817" t="s">
        <v>423</v>
      </c>
    </row>
    <row r="818" spans="1:10" x14ac:dyDescent="0.35">
      <c r="A818" t="s">
        <v>1202</v>
      </c>
      <c r="B818" t="s">
        <v>235</v>
      </c>
      <c r="C818" t="s">
        <v>370</v>
      </c>
      <c r="D818">
        <v>7</v>
      </c>
      <c r="E818" t="s">
        <v>375</v>
      </c>
      <c r="F818">
        <v>2022</v>
      </c>
      <c r="G818">
        <v>66.180000000000007</v>
      </c>
      <c r="H818">
        <v>0.17449999999999999</v>
      </c>
      <c r="I818">
        <v>1154.8410000000001</v>
      </c>
      <c r="J818" t="s">
        <v>372</v>
      </c>
    </row>
    <row r="819" spans="1:10" x14ac:dyDescent="0.35">
      <c r="A819" t="s">
        <v>1203</v>
      </c>
      <c r="B819" t="s">
        <v>85</v>
      </c>
      <c r="C819" t="s">
        <v>384</v>
      </c>
      <c r="D819">
        <v>2</v>
      </c>
      <c r="E819" t="s">
        <v>389</v>
      </c>
      <c r="F819">
        <v>2023</v>
      </c>
      <c r="G819">
        <v>149.62</v>
      </c>
      <c r="H819">
        <v>0.66439999999999999</v>
      </c>
      <c r="I819">
        <v>9940.7528000000002</v>
      </c>
      <c r="J819" t="s">
        <v>372</v>
      </c>
    </row>
    <row r="820" spans="1:10" x14ac:dyDescent="0.35">
      <c r="A820" t="s">
        <v>1204</v>
      </c>
      <c r="B820" t="s">
        <v>101</v>
      </c>
      <c r="C820" t="s">
        <v>370</v>
      </c>
      <c r="D820">
        <v>2</v>
      </c>
      <c r="E820" t="s">
        <v>389</v>
      </c>
      <c r="F820">
        <v>2022</v>
      </c>
      <c r="G820">
        <v>90.62</v>
      </c>
      <c r="H820">
        <v>0.36199999999999999</v>
      </c>
      <c r="I820">
        <v>3280.444</v>
      </c>
      <c r="J820" t="s">
        <v>372</v>
      </c>
    </row>
    <row r="821" spans="1:10" x14ac:dyDescent="0.35">
      <c r="A821" t="s">
        <v>1205</v>
      </c>
      <c r="B821" t="s">
        <v>333</v>
      </c>
      <c r="C821" t="s">
        <v>370</v>
      </c>
      <c r="D821">
        <v>10</v>
      </c>
      <c r="E821" t="s">
        <v>387</v>
      </c>
      <c r="F821">
        <v>2022</v>
      </c>
      <c r="G821">
        <v>137.94</v>
      </c>
      <c r="H821">
        <v>0.40539999999999998</v>
      </c>
      <c r="I821">
        <v>5592.0875999999998</v>
      </c>
      <c r="J821" t="s">
        <v>372</v>
      </c>
    </row>
    <row r="822" spans="1:10" x14ac:dyDescent="0.35">
      <c r="A822" t="s">
        <v>1206</v>
      </c>
      <c r="B822" t="s">
        <v>119</v>
      </c>
      <c r="C822" t="s">
        <v>374</v>
      </c>
      <c r="D822">
        <v>10</v>
      </c>
      <c r="E822" t="s">
        <v>387</v>
      </c>
      <c r="F822">
        <v>2024</v>
      </c>
      <c r="G822">
        <v>264.14999999999998</v>
      </c>
      <c r="H822">
        <v>0.52070000000000005</v>
      </c>
      <c r="I822">
        <v>13754.290499999999</v>
      </c>
      <c r="J822" t="s">
        <v>372</v>
      </c>
    </row>
    <row r="823" spans="1:10" x14ac:dyDescent="0.35">
      <c r="A823" t="s">
        <v>1207</v>
      </c>
      <c r="B823" t="s">
        <v>5</v>
      </c>
      <c r="C823" t="s">
        <v>370</v>
      </c>
      <c r="D823">
        <v>12</v>
      </c>
      <c r="E823" t="s">
        <v>487</v>
      </c>
      <c r="F823">
        <v>2024</v>
      </c>
      <c r="G823">
        <v>369.16</v>
      </c>
      <c r="H823">
        <v>0.75839999999999996</v>
      </c>
      <c r="I823">
        <v>27997.094400000002</v>
      </c>
      <c r="J823" t="s">
        <v>372</v>
      </c>
    </row>
    <row r="824" spans="1:10" x14ac:dyDescent="0.35">
      <c r="A824" t="s">
        <v>1208</v>
      </c>
      <c r="B824" t="s">
        <v>97</v>
      </c>
      <c r="C824" t="s">
        <v>374</v>
      </c>
      <c r="D824">
        <v>12</v>
      </c>
      <c r="E824" t="s">
        <v>487</v>
      </c>
      <c r="F824">
        <v>2022</v>
      </c>
      <c r="G824">
        <v>95.36</v>
      </c>
      <c r="H824">
        <v>0.8266</v>
      </c>
      <c r="I824">
        <v>7882.4575999999997</v>
      </c>
      <c r="J824" t="s">
        <v>372</v>
      </c>
    </row>
    <row r="825" spans="1:10" x14ac:dyDescent="0.35">
      <c r="A825" t="s">
        <v>1209</v>
      </c>
      <c r="B825" t="s">
        <v>21</v>
      </c>
      <c r="C825" t="s">
        <v>374</v>
      </c>
      <c r="D825">
        <v>6</v>
      </c>
      <c r="E825" t="s">
        <v>379</v>
      </c>
      <c r="F825">
        <v>2024</v>
      </c>
      <c r="G825">
        <v>78.23</v>
      </c>
      <c r="H825">
        <v>0.255</v>
      </c>
      <c r="I825">
        <v>1994.865</v>
      </c>
      <c r="J825" t="s">
        <v>372</v>
      </c>
    </row>
    <row r="826" spans="1:10" x14ac:dyDescent="0.35">
      <c r="A826" t="s">
        <v>1210</v>
      </c>
      <c r="B826" t="s">
        <v>350</v>
      </c>
      <c r="C826" t="s">
        <v>370</v>
      </c>
      <c r="D826">
        <v>4</v>
      </c>
      <c r="E826" t="s">
        <v>394</v>
      </c>
      <c r="F826">
        <v>2022</v>
      </c>
      <c r="G826">
        <v>465.26</v>
      </c>
      <c r="H826">
        <v>0.41970000000000002</v>
      </c>
      <c r="I826">
        <v>19526.962199999998</v>
      </c>
      <c r="J826" t="s">
        <v>372</v>
      </c>
    </row>
    <row r="827" spans="1:10" x14ac:dyDescent="0.35">
      <c r="A827" t="s">
        <v>1211</v>
      </c>
      <c r="B827" t="s">
        <v>320</v>
      </c>
      <c r="C827" t="s">
        <v>384</v>
      </c>
      <c r="D827">
        <v>2</v>
      </c>
      <c r="E827" t="s">
        <v>389</v>
      </c>
      <c r="F827">
        <v>2023</v>
      </c>
      <c r="G827">
        <v>306.44</v>
      </c>
      <c r="H827">
        <v>0.12970000000000001</v>
      </c>
      <c r="I827">
        <v>3974.5268000000001</v>
      </c>
      <c r="J827" t="s">
        <v>372</v>
      </c>
    </row>
    <row r="828" spans="1:10" x14ac:dyDescent="0.35">
      <c r="A828" t="s">
        <v>1212</v>
      </c>
      <c r="B828" t="s">
        <v>299</v>
      </c>
      <c r="C828" t="s">
        <v>370</v>
      </c>
      <c r="D828">
        <v>10</v>
      </c>
      <c r="E828" t="s">
        <v>387</v>
      </c>
      <c r="F828">
        <v>2022</v>
      </c>
      <c r="G828">
        <v>399.71</v>
      </c>
      <c r="H828">
        <v>0.52500000000000002</v>
      </c>
      <c r="I828">
        <v>20984.774999999998</v>
      </c>
      <c r="J828" t="s">
        <v>372</v>
      </c>
    </row>
    <row r="829" spans="1:10" x14ac:dyDescent="0.35">
      <c r="A829" t="s">
        <v>1213</v>
      </c>
      <c r="B829" t="s">
        <v>340</v>
      </c>
      <c r="C829" t="s">
        <v>370</v>
      </c>
      <c r="D829">
        <v>6</v>
      </c>
      <c r="E829" t="s">
        <v>379</v>
      </c>
      <c r="F829">
        <v>2023</v>
      </c>
      <c r="G829">
        <v>142.05000000000001</v>
      </c>
      <c r="H829">
        <v>0.84199999999999997</v>
      </c>
      <c r="I829">
        <v>11960.61</v>
      </c>
      <c r="J829" t="s">
        <v>372</v>
      </c>
    </row>
    <row r="830" spans="1:10" x14ac:dyDescent="0.35">
      <c r="A830" t="s">
        <v>1214</v>
      </c>
      <c r="B830" t="s">
        <v>299</v>
      </c>
      <c r="C830" t="s">
        <v>370</v>
      </c>
      <c r="D830">
        <v>6</v>
      </c>
      <c r="E830" t="s">
        <v>379</v>
      </c>
      <c r="F830">
        <v>2024</v>
      </c>
      <c r="G830">
        <v>339.35</v>
      </c>
      <c r="H830">
        <v>0.19239999999999999</v>
      </c>
      <c r="I830">
        <v>6529.094000000001</v>
      </c>
      <c r="J830" t="s">
        <v>372</v>
      </c>
    </row>
    <row r="831" spans="1:10" x14ac:dyDescent="0.35">
      <c r="A831" t="s">
        <v>1215</v>
      </c>
      <c r="B831" t="s">
        <v>342</v>
      </c>
      <c r="C831" t="s">
        <v>384</v>
      </c>
      <c r="D831">
        <v>12</v>
      </c>
      <c r="E831" t="s">
        <v>487</v>
      </c>
      <c r="F831">
        <v>2024</v>
      </c>
      <c r="G831">
        <v>383.31</v>
      </c>
      <c r="H831">
        <v>0.19089999999999999</v>
      </c>
      <c r="I831">
        <v>7317.3878999999997</v>
      </c>
      <c r="J831" t="s">
        <v>372</v>
      </c>
    </row>
    <row r="832" spans="1:10" x14ac:dyDescent="0.35">
      <c r="A832" t="s">
        <v>1216</v>
      </c>
      <c r="B832" t="s">
        <v>242</v>
      </c>
      <c r="C832" t="s">
        <v>384</v>
      </c>
      <c r="D832">
        <v>11</v>
      </c>
      <c r="E832" t="s">
        <v>371</v>
      </c>
      <c r="F832">
        <v>2024</v>
      </c>
      <c r="G832">
        <v>392.84</v>
      </c>
      <c r="H832">
        <v>0.12609999999999999</v>
      </c>
      <c r="I832">
        <v>4953.7123999999994</v>
      </c>
      <c r="J832" t="s">
        <v>372</v>
      </c>
    </row>
    <row r="833" spans="1:10" x14ac:dyDescent="0.35">
      <c r="A833" t="s">
        <v>1217</v>
      </c>
      <c r="B833" t="s">
        <v>158</v>
      </c>
      <c r="C833" t="s">
        <v>370</v>
      </c>
      <c r="D833">
        <v>5</v>
      </c>
      <c r="E833" t="s">
        <v>417</v>
      </c>
      <c r="F833">
        <v>2024</v>
      </c>
      <c r="G833">
        <v>462.67</v>
      </c>
      <c r="H833">
        <v>0.27160000000000001</v>
      </c>
      <c r="I833">
        <v>12566.117200000001</v>
      </c>
      <c r="J833" t="s">
        <v>372</v>
      </c>
    </row>
    <row r="834" spans="1:10" x14ac:dyDescent="0.35">
      <c r="A834" t="s">
        <v>1218</v>
      </c>
      <c r="B834" t="s">
        <v>354</v>
      </c>
      <c r="C834" t="s">
        <v>370</v>
      </c>
      <c r="D834">
        <v>12</v>
      </c>
      <c r="E834" t="s">
        <v>487</v>
      </c>
      <c r="F834">
        <v>2024</v>
      </c>
      <c r="G834">
        <v>283.45999999999998</v>
      </c>
      <c r="H834">
        <v>0.26869999999999999</v>
      </c>
      <c r="I834">
        <v>7616.5701999999992</v>
      </c>
      <c r="J834" t="s">
        <v>372</v>
      </c>
    </row>
    <row r="835" spans="1:10" x14ac:dyDescent="0.35">
      <c r="A835" t="s">
        <v>1219</v>
      </c>
      <c r="B835" t="s">
        <v>319</v>
      </c>
      <c r="C835" t="s">
        <v>384</v>
      </c>
      <c r="D835">
        <v>3</v>
      </c>
      <c r="E835" t="s">
        <v>391</v>
      </c>
      <c r="F835">
        <v>2022</v>
      </c>
      <c r="G835">
        <v>332.75</v>
      </c>
      <c r="H835">
        <v>0.23200000000000001</v>
      </c>
      <c r="I835">
        <v>7719.8000000000011</v>
      </c>
      <c r="J835" t="s">
        <v>372</v>
      </c>
    </row>
    <row r="836" spans="1:10" x14ac:dyDescent="0.35">
      <c r="A836" t="s">
        <v>1220</v>
      </c>
      <c r="B836" t="s">
        <v>289</v>
      </c>
      <c r="C836" t="s">
        <v>384</v>
      </c>
      <c r="D836">
        <v>2</v>
      </c>
      <c r="E836" t="s">
        <v>389</v>
      </c>
      <c r="F836">
        <v>2023</v>
      </c>
      <c r="G836">
        <v>379.73</v>
      </c>
      <c r="H836">
        <v>0.68679999999999997</v>
      </c>
      <c r="I836">
        <v>26079.856400000001</v>
      </c>
      <c r="J836" t="s">
        <v>372</v>
      </c>
    </row>
    <row r="837" spans="1:10" x14ac:dyDescent="0.35">
      <c r="A837" t="s">
        <v>1221</v>
      </c>
      <c r="B837" t="s">
        <v>196</v>
      </c>
      <c r="C837" t="s">
        <v>370</v>
      </c>
      <c r="D837">
        <v>7</v>
      </c>
      <c r="E837" t="s">
        <v>375</v>
      </c>
      <c r="F837">
        <v>2022</v>
      </c>
      <c r="G837">
        <v>80.19</v>
      </c>
      <c r="H837">
        <v>0.25280000000000002</v>
      </c>
      <c r="I837">
        <v>2027.2032000000004</v>
      </c>
      <c r="J837" t="s">
        <v>372</v>
      </c>
    </row>
    <row r="838" spans="1:10" x14ac:dyDescent="0.35">
      <c r="A838" t="s">
        <v>1222</v>
      </c>
      <c r="B838" t="s">
        <v>313</v>
      </c>
      <c r="C838" t="s">
        <v>384</v>
      </c>
      <c r="D838">
        <v>3</v>
      </c>
      <c r="E838" t="s">
        <v>391</v>
      </c>
      <c r="F838">
        <v>2023</v>
      </c>
      <c r="G838">
        <v>192.91</v>
      </c>
      <c r="H838">
        <v>0.18490000000000001</v>
      </c>
      <c r="I838">
        <v>3566.9059000000007</v>
      </c>
      <c r="J838" t="s">
        <v>372</v>
      </c>
    </row>
    <row r="839" spans="1:10" x14ac:dyDescent="0.35">
      <c r="A839" t="s">
        <v>1223</v>
      </c>
      <c r="B839" t="s">
        <v>47</v>
      </c>
      <c r="C839" t="s">
        <v>370</v>
      </c>
      <c r="D839">
        <v>2</v>
      </c>
      <c r="E839" t="s">
        <v>389</v>
      </c>
      <c r="F839">
        <v>2022</v>
      </c>
      <c r="G839">
        <v>112.67</v>
      </c>
      <c r="H839">
        <v>0.66120000000000001</v>
      </c>
      <c r="I839">
        <v>7449.7404000000006</v>
      </c>
      <c r="J839" t="s">
        <v>372</v>
      </c>
    </row>
    <row r="840" spans="1:10" x14ac:dyDescent="0.35">
      <c r="A840" t="s">
        <v>1224</v>
      </c>
      <c r="B840" t="s">
        <v>177</v>
      </c>
      <c r="C840" t="s">
        <v>370</v>
      </c>
      <c r="D840">
        <v>6</v>
      </c>
      <c r="E840" t="s">
        <v>379</v>
      </c>
      <c r="F840">
        <v>2024</v>
      </c>
      <c r="G840">
        <v>38.28</v>
      </c>
      <c r="H840">
        <v>0.38900000000000001</v>
      </c>
      <c r="I840">
        <v>1489.0920000000001</v>
      </c>
      <c r="J840" t="s">
        <v>372</v>
      </c>
    </row>
    <row r="841" spans="1:10" x14ac:dyDescent="0.35">
      <c r="A841" t="s">
        <v>1225</v>
      </c>
      <c r="B841" t="s">
        <v>210</v>
      </c>
      <c r="C841" t="s">
        <v>384</v>
      </c>
      <c r="D841">
        <v>6</v>
      </c>
      <c r="E841" t="s">
        <v>379</v>
      </c>
      <c r="F841">
        <v>2023</v>
      </c>
      <c r="G841">
        <v>41.81</v>
      </c>
      <c r="H841">
        <v>0.4531</v>
      </c>
      <c r="I841">
        <v>1894.4111</v>
      </c>
      <c r="J841" t="s">
        <v>372</v>
      </c>
    </row>
    <row r="842" spans="1:10" x14ac:dyDescent="0.35">
      <c r="A842" t="s">
        <v>1226</v>
      </c>
      <c r="B842" t="s">
        <v>45</v>
      </c>
      <c r="C842" t="s">
        <v>370</v>
      </c>
      <c r="D842">
        <v>12</v>
      </c>
      <c r="E842" t="s">
        <v>487</v>
      </c>
      <c r="F842">
        <v>2022</v>
      </c>
      <c r="G842">
        <v>328.76</v>
      </c>
      <c r="H842">
        <v>0.128</v>
      </c>
      <c r="I842">
        <v>4208.1279999999997</v>
      </c>
      <c r="J842" t="s">
        <v>372</v>
      </c>
    </row>
    <row r="843" spans="1:10" x14ac:dyDescent="0.35">
      <c r="A843" t="s">
        <v>1227</v>
      </c>
      <c r="B843" t="s">
        <v>171</v>
      </c>
      <c r="C843" t="s">
        <v>374</v>
      </c>
      <c r="D843">
        <v>5</v>
      </c>
      <c r="E843" t="s">
        <v>417</v>
      </c>
      <c r="F843">
        <v>2023</v>
      </c>
      <c r="G843">
        <v>392.61</v>
      </c>
      <c r="H843">
        <v>0.74929999999999997</v>
      </c>
      <c r="I843">
        <v>29418.267300000003</v>
      </c>
      <c r="J843" t="s">
        <v>372</v>
      </c>
    </row>
    <row r="844" spans="1:10" x14ac:dyDescent="0.35">
      <c r="A844" t="s">
        <v>1228</v>
      </c>
      <c r="B844" t="s">
        <v>179</v>
      </c>
      <c r="C844" t="s">
        <v>374</v>
      </c>
      <c r="D844">
        <v>7</v>
      </c>
      <c r="E844" t="s">
        <v>375</v>
      </c>
      <c r="F844">
        <v>2024</v>
      </c>
      <c r="G844">
        <v>282.93</v>
      </c>
      <c r="H844">
        <v>0.1391</v>
      </c>
      <c r="I844">
        <v>3935.5563000000002</v>
      </c>
      <c r="J844" t="s">
        <v>372</v>
      </c>
    </row>
    <row r="845" spans="1:10" x14ac:dyDescent="0.35">
      <c r="A845" t="s">
        <v>1229</v>
      </c>
      <c r="B845" t="s">
        <v>204</v>
      </c>
      <c r="C845" t="s">
        <v>374</v>
      </c>
      <c r="D845">
        <v>4</v>
      </c>
      <c r="E845" t="s">
        <v>394</v>
      </c>
      <c r="F845">
        <v>2022</v>
      </c>
      <c r="G845">
        <v>156.65</v>
      </c>
      <c r="H845">
        <v>0.52300000000000002</v>
      </c>
      <c r="I845">
        <v>8192.7950000000019</v>
      </c>
      <c r="J845" t="s">
        <v>372</v>
      </c>
    </row>
    <row r="846" spans="1:10" x14ac:dyDescent="0.35">
      <c r="A846" t="s">
        <v>1230</v>
      </c>
      <c r="B846" t="s">
        <v>56</v>
      </c>
      <c r="C846" t="s">
        <v>384</v>
      </c>
      <c r="D846">
        <v>9</v>
      </c>
      <c r="E846" t="s">
        <v>403</v>
      </c>
      <c r="F846">
        <v>2022</v>
      </c>
      <c r="G846">
        <v>124.91</v>
      </c>
      <c r="H846">
        <v>0.1096</v>
      </c>
      <c r="I846">
        <v>1369.0136</v>
      </c>
      <c r="J846" t="s">
        <v>372</v>
      </c>
    </row>
    <row r="847" spans="1:10" x14ac:dyDescent="0.35">
      <c r="A847" t="s">
        <v>1231</v>
      </c>
      <c r="B847" t="s">
        <v>268</v>
      </c>
      <c r="C847" t="s">
        <v>370</v>
      </c>
      <c r="D847">
        <v>7</v>
      </c>
      <c r="E847" t="s">
        <v>375</v>
      </c>
      <c r="F847">
        <v>2022</v>
      </c>
      <c r="G847">
        <v>98.82</v>
      </c>
      <c r="H847">
        <v>0.38479999999999998</v>
      </c>
      <c r="I847">
        <v>3802.5935999999992</v>
      </c>
      <c r="J847" t="s">
        <v>372</v>
      </c>
    </row>
    <row r="848" spans="1:10" x14ac:dyDescent="0.35">
      <c r="A848" t="s">
        <v>1232</v>
      </c>
      <c r="B848" t="s">
        <v>110</v>
      </c>
      <c r="C848" t="s">
        <v>374</v>
      </c>
      <c r="D848">
        <v>5</v>
      </c>
      <c r="E848" t="s">
        <v>417</v>
      </c>
      <c r="F848">
        <v>2023</v>
      </c>
      <c r="G848">
        <v>17.97</v>
      </c>
      <c r="H848">
        <v>0.61960000000000004</v>
      </c>
      <c r="I848">
        <v>1113.4212</v>
      </c>
      <c r="J848" t="s">
        <v>372</v>
      </c>
    </row>
    <row r="849" spans="1:10" x14ac:dyDescent="0.35">
      <c r="A849" t="s">
        <v>1233</v>
      </c>
      <c r="B849" t="s">
        <v>335</v>
      </c>
      <c r="C849" t="s">
        <v>370</v>
      </c>
      <c r="D849">
        <v>8</v>
      </c>
      <c r="E849" t="s">
        <v>377</v>
      </c>
      <c r="F849">
        <v>2024</v>
      </c>
      <c r="G849">
        <v>87.92</v>
      </c>
      <c r="H849">
        <v>0.46179999999999999</v>
      </c>
      <c r="I849">
        <v>4060.1455999999998</v>
      </c>
      <c r="J849" t="s">
        <v>372</v>
      </c>
    </row>
    <row r="850" spans="1:10" x14ac:dyDescent="0.35">
      <c r="A850" t="s">
        <v>1234</v>
      </c>
      <c r="B850" t="s">
        <v>5</v>
      </c>
      <c r="C850" t="s">
        <v>384</v>
      </c>
      <c r="D850">
        <v>2</v>
      </c>
      <c r="E850" t="s">
        <v>389</v>
      </c>
      <c r="F850">
        <v>2023</v>
      </c>
      <c r="G850">
        <v>310.48</v>
      </c>
      <c r="H850">
        <v>0.62039999999999995</v>
      </c>
      <c r="I850">
        <v>19262.179199999999</v>
      </c>
      <c r="J850" t="s">
        <v>372</v>
      </c>
    </row>
    <row r="851" spans="1:10" x14ac:dyDescent="0.35">
      <c r="A851" t="s">
        <v>1235</v>
      </c>
      <c r="B851" t="s">
        <v>251</v>
      </c>
      <c r="C851" t="s">
        <v>374</v>
      </c>
      <c r="D851">
        <v>11</v>
      </c>
      <c r="E851" t="s">
        <v>371</v>
      </c>
      <c r="F851">
        <v>2022</v>
      </c>
      <c r="G851">
        <v>121.48</v>
      </c>
      <c r="H851">
        <v>0.1457</v>
      </c>
      <c r="I851">
        <v>1769.9636000000003</v>
      </c>
      <c r="J851" t="s">
        <v>372</v>
      </c>
    </row>
    <row r="852" spans="1:10" x14ac:dyDescent="0.35">
      <c r="A852" t="s">
        <v>1236</v>
      </c>
      <c r="B852" t="s">
        <v>231</v>
      </c>
      <c r="C852" t="s">
        <v>374</v>
      </c>
      <c r="D852">
        <v>10</v>
      </c>
      <c r="E852" t="s">
        <v>387</v>
      </c>
      <c r="F852">
        <v>2023</v>
      </c>
      <c r="G852">
        <v>294.73</v>
      </c>
      <c r="H852">
        <v>0.61809999999999998</v>
      </c>
      <c r="I852">
        <v>18217.261300000002</v>
      </c>
      <c r="J852" t="s">
        <v>372</v>
      </c>
    </row>
    <row r="853" spans="1:10" x14ac:dyDescent="0.35">
      <c r="A853" t="s">
        <v>1237</v>
      </c>
      <c r="B853" t="s">
        <v>188</v>
      </c>
      <c r="C853" t="s">
        <v>374</v>
      </c>
      <c r="D853">
        <v>10</v>
      </c>
      <c r="E853" t="s">
        <v>387</v>
      </c>
      <c r="F853">
        <v>2023</v>
      </c>
      <c r="G853">
        <v>463.81</v>
      </c>
      <c r="H853">
        <v>0.29060000000000002</v>
      </c>
      <c r="I853">
        <v>13478.318600000001</v>
      </c>
      <c r="J853" t="s">
        <v>372</v>
      </c>
    </row>
    <row r="854" spans="1:10" x14ac:dyDescent="0.35">
      <c r="A854" t="s">
        <v>1238</v>
      </c>
      <c r="B854" t="s">
        <v>338</v>
      </c>
      <c r="C854" t="s">
        <v>370</v>
      </c>
      <c r="D854">
        <v>8</v>
      </c>
      <c r="E854" t="s">
        <v>377</v>
      </c>
      <c r="F854">
        <v>2023</v>
      </c>
      <c r="G854">
        <v>289.02</v>
      </c>
      <c r="H854">
        <v>0.72540000000000004</v>
      </c>
      <c r="I854">
        <v>20965.5108</v>
      </c>
      <c r="J854" t="s">
        <v>372</v>
      </c>
    </row>
    <row r="855" spans="1:10" x14ac:dyDescent="0.35">
      <c r="A855" t="s">
        <v>1239</v>
      </c>
      <c r="B855" t="s">
        <v>133</v>
      </c>
      <c r="C855" t="s">
        <v>370</v>
      </c>
      <c r="D855">
        <v>10</v>
      </c>
      <c r="E855" t="s">
        <v>387</v>
      </c>
      <c r="F855">
        <v>2024</v>
      </c>
      <c r="G855">
        <v>350.13</v>
      </c>
      <c r="H855">
        <v>0.2298</v>
      </c>
      <c r="I855">
        <v>8045.9874</v>
      </c>
      <c r="J855" t="s">
        <v>372</v>
      </c>
    </row>
    <row r="856" spans="1:10" x14ac:dyDescent="0.35">
      <c r="A856" t="s">
        <v>1240</v>
      </c>
      <c r="B856" t="s">
        <v>80</v>
      </c>
      <c r="C856" t="s">
        <v>374</v>
      </c>
      <c r="D856">
        <v>4</v>
      </c>
      <c r="E856" t="s">
        <v>394</v>
      </c>
      <c r="F856">
        <v>2022</v>
      </c>
      <c r="G856">
        <v>59.86</v>
      </c>
      <c r="H856">
        <v>0.754</v>
      </c>
      <c r="I856">
        <v>4513.4439999999995</v>
      </c>
      <c r="J856" t="s">
        <v>372</v>
      </c>
    </row>
    <row r="857" spans="1:10" x14ac:dyDescent="0.35">
      <c r="A857" t="s">
        <v>1241</v>
      </c>
      <c r="B857" t="s">
        <v>156</v>
      </c>
      <c r="C857" t="s">
        <v>370</v>
      </c>
      <c r="D857">
        <v>8</v>
      </c>
      <c r="E857" t="s">
        <v>377</v>
      </c>
      <c r="F857">
        <v>2022</v>
      </c>
      <c r="G857">
        <v>60.57</v>
      </c>
      <c r="H857">
        <v>0.37569999999999998</v>
      </c>
      <c r="I857">
        <v>2275.6148999999996</v>
      </c>
      <c r="J857" t="s">
        <v>372</v>
      </c>
    </row>
    <row r="858" spans="1:10" x14ac:dyDescent="0.35">
      <c r="A858" t="s">
        <v>1242</v>
      </c>
      <c r="B858" t="s">
        <v>233</v>
      </c>
      <c r="C858" t="s">
        <v>374</v>
      </c>
      <c r="D858">
        <v>3</v>
      </c>
      <c r="E858" t="s">
        <v>391</v>
      </c>
      <c r="F858">
        <v>2022</v>
      </c>
      <c r="G858">
        <v>315.38</v>
      </c>
      <c r="H858">
        <v>0.67010000000000003</v>
      </c>
      <c r="I858">
        <v>21133.613799999999</v>
      </c>
      <c r="J858" t="s">
        <v>372</v>
      </c>
    </row>
    <row r="859" spans="1:10" x14ac:dyDescent="0.35">
      <c r="A859" t="s">
        <v>1243</v>
      </c>
      <c r="B859" t="s">
        <v>316</v>
      </c>
      <c r="C859" t="s">
        <v>384</v>
      </c>
      <c r="D859">
        <v>6</v>
      </c>
      <c r="E859" t="s">
        <v>379</v>
      </c>
      <c r="F859">
        <v>2023</v>
      </c>
      <c r="G859">
        <v>326.22000000000003</v>
      </c>
      <c r="H859">
        <v>0.36930000000000002</v>
      </c>
      <c r="I859">
        <v>12047.304600000001</v>
      </c>
      <c r="J859" t="s">
        <v>372</v>
      </c>
    </row>
    <row r="860" spans="1:10" x14ac:dyDescent="0.35">
      <c r="A860" t="s">
        <v>1244</v>
      </c>
      <c r="B860" t="s">
        <v>80</v>
      </c>
      <c r="C860" t="s">
        <v>384</v>
      </c>
      <c r="D860">
        <v>10</v>
      </c>
      <c r="E860" t="s">
        <v>387</v>
      </c>
      <c r="F860">
        <v>2023</v>
      </c>
      <c r="G860">
        <v>274.88</v>
      </c>
      <c r="H860">
        <v>0.13800000000000001</v>
      </c>
      <c r="I860">
        <v>3793.3440000000005</v>
      </c>
      <c r="J860" t="s">
        <v>372</v>
      </c>
    </row>
    <row r="861" spans="1:10" x14ac:dyDescent="0.35">
      <c r="A861" t="s">
        <v>1245</v>
      </c>
      <c r="B861" t="s">
        <v>320</v>
      </c>
      <c r="C861" t="s">
        <v>384</v>
      </c>
      <c r="D861">
        <v>6</v>
      </c>
      <c r="E861" t="s">
        <v>379</v>
      </c>
      <c r="F861">
        <v>2023</v>
      </c>
      <c r="G861">
        <v>390.06</v>
      </c>
      <c r="H861">
        <v>0.2777</v>
      </c>
      <c r="I861">
        <v>10831.966200000001</v>
      </c>
      <c r="J861" t="s">
        <v>372</v>
      </c>
    </row>
    <row r="862" spans="1:10" x14ac:dyDescent="0.35">
      <c r="A862" t="s">
        <v>1246</v>
      </c>
      <c r="B862" t="s">
        <v>12</v>
      </c>
      <c r="C862" t="s">
        <v>384</v>
      </c>
      <c r="D862">
        <v>3</v>
      </c>
      <c r="E862" t="s">
        <v>391</v>
      </c>
      <c r="F862">
        <v>2023</v>
      </c>
      <c r="G862">
        <v>71.959999999999994</v>
      </c>
      <c r="H862">
        <v>0.48120000000000002</v>
      </c>
      <c r="I862">
        <v>3462.7151999999996</v>
      </c>
      <c r="J862" t="s">
        <v>372</v>
      </c>
    </row>
    <row r="863" spans="1:10" x14ac:dyDescent="0.35">
      <c r="A863" t="s">
        <v>1247</v>
      </c>
      <c r="B863" t="s">
        <v>292</v>
      </c>
      <c r="C863" t="s">
        <v>384</v>
      </c>
      <c r="D863">
        <v>12</v>
      </c>
      <c r="E863" t="s">
        <v>487</v>
      </c>
      <c r="F863">
        <v>2023</v>
      </c>
      <c r="G863">
        <v>203.71</v>
      </c>
      <c r="H863">
        <v>0.52849999999999997</v>
      </c>
      <c r="I863">
        <v>10766.0735</v>
      </c>
      <c r="J863" t="s">
        <v>372</v>
      </c>
    </row>
    <row r="864" spans="1:10" x14ac:dyDescent="0.35">
      <c r="A864" t="s">
        <v>1248</v>
      </c>
      <c r="B864" t="s">
        <v>279</v>
      </c>
      <c r="C864" t="s">
        <v>374</v>
      </c>
      <c r="D864">
        <v>2</v>
      </c>
      <c r="E864" t="s">
        <v>389</v>
      </c>
      <c r="F864">
        <v>2024</v>
      </c>
      <c r="G864">
        <v>4.4800000000000004</v>
      </c>
      <c r="H864">
        <v>0.34489999999999998</v>
      </c>
      <c r="I864">
        <v>154.51520000000002</v>
      </c>
      <c r="J864" t="s">
        <v>372</v>
      </c>
    </row>
    <row r="865" spans="1:10" x14ac:dyDescent="0.35">
      <c r="A865" t="s">
        <v>1249</v>
      </c>
      <c r="B865" t="s">
        <v>115</v>
      </c>
      <c r="C865" t="s">
        <v>374</v>
      </c>
      <c r="D865">
        <v>6</v>
      </c>
      <c r="E865" t="s">
        <v>379</v>
      </c>
      <c r="F865">
        <v>2023</v>
      </c>
      <c r="G865">
        <v>182.44</v>
      </c>
      <c r="H865">
        <v>0.56889999999999996</v>
      </c>
      <c r="I865">
        <v>10379.0116</v>
      </c>
      <c r="J865" t="s">
        <v>372</v>
      </c>
    </row>
    <row r="866" spans="1:10" x14ac:dyDescent="0.35">
      <c r="A866" t="s">
        <v>1250</v>
      </c>
      <c r="B866" t="s">
        <v>297</v>
      </c>
      <c r="C866" t="s">
        <v>374</v>
      </c>
      <c r="D866">
        <v>11</v>
      </c>
      <c r="E866" t="s">
        <v>371</v>
      </c>
      <c r="F866">
        <v>2022</v>
      </c>
      <c r="G866">
        <v>28.28</v>
      </c>
      <c r="H866">
        <v>0.79110000000000003</v>
      </c>
      <c r="I866">
        <v>2237.2307999999998</v>
      </c>
      <c r="J866" t="s">
        <v>372</v>
      </c>
    </row>
    <row r="867" spans="1:10" x14ac:dyDescent="0.35">
      <c r="A867" t="s">
        <v>1251</v>
      </c>
      <c r="B867" t="s">
        <v>200</v>
      </c>
      <c r="C867" t="s">
        <v>384</v>
      </c>
      <c r="D867">
        <v>10</v>
      </c>
      <c r="E867" t="s">
        <v>387</v>
      </c>
      <c r="F867">
        <v>2022</v>
      </c>
      <c r="G867">
        <v>213.43</v>
      </c>
      <c r="H867">
        <v>0.62219999999999998</v>
      </c>
      <c r="I867">
        <v>13279.614599999999</v>
      </c>
      <c r="J867" t="s">
        <v>372</v>
      </c>
    </row>
    <row r="868" spans="1:10" x14ac:dyDescent="0.35">
      <c r="A868" t="s">
        <v>1252</v>
      </c>
      <c r="B868" t="s">
        <v>193</v>
      </c>
      <c r="C868" t="s">
        <v>384</v>
      </c>
      <c r="D868">
        <v>5</v>
      </c>
      <c r="E868" t="s">
        <v>417</v>
      </c>
      <c r="F868">
        <v>2024</v>
      </c>
      <c r="G868">
        <v>360.7</v>
      </c>
      <c r="H868">
        <v>0.46560000000000001</v>
      </c>
      <c r="I868">
        <v>16794.192000000003</v>
      </c>
      <c r="J868" t="s">
        <v>372</v>
      </c>
    </row>
    <row r="869" spans="1:10" x14ac:dyDescent="0.35">
      <c r="A869" t="s">
        <v>1253</v>
      </c>
      <c r="B869" t="s">
        <v>211</v>
      </c>
      <c r="C869" t="s">
        <v>374</v>
      </c>
      <c r="D869">
        <v>9</v>
      </c>
      <c r="E869" t="s">
        <v>403</v>
      </c>
      <c r="F869">
        <v>2023</v>
      </c>
      <c r="G869">
        <v>498.22</v>
      </c>
      <c r="H869">
        <v>0.31419999999999998</v>
      </c>
      <c r="I869">
        <v>15654.072400000001</v>
      </c>
      <c r="J869" t="s">
        <v>372</v>
      </c>
    </row>
    <row r="870" spans="1:10" x14ac:dyDescent="0.35">
      <c r="A870" t="s">
        <v>1254</v>
      </c>
      <c r="B870" t="s">
        <v>270</v>
      </c>
      <c r="C870" t="s">
        <v>384</v>
      </c>
      <c r="D870">
        <v>11</v>
      </c>
      <c r="E870" t="s">
        <v>371</v>
      </c>
      <c r="F870">
        <v>2023</v>
      </c>
      <c r="G870">
        <v>177.94</v>
      </c>
      <c r="H870">
        <v>0.25440000000000002</v>
      </c>
      <c r="I870">
        <v>4526.7936</v>
      </c>
      <c r="J870" t="s">
        <v>372</v>
      </c>
    </row>
    <row r="871" spans="1:10" x14ac:dyDescent="0.35">
      <c r="A871" t="s">
        <v>1255</v>
      </c>
      <c r="B871" t="s">
        <v>194</v>
      </c>
      <c r="C871" t="s">
        <v>384</v>
      </c>
      <c r="D871">
        <v>12</v>
      </c>
      <c r="E871" t="s">
        <v>487</v>
      </c>
      <c r="F871">
        <v>2023</v>
      </c>
      <c r="G871">
        <v>39.64</v>
      </c>
      <c r="H871">
        <v>0.33379999999999999</v>
      </c>
      <c r="I871">
        <v>1323.1831999999999</v>
      </c>
      <c r="J871" t="s">
        <v>372</v>
      </c>
    </row>
    <row r="872" spans="1:10" x14ac:dyDescent="0.35">
      <c r="A872" t="s">
        <v>1256</v>
      </c>
      <c r="B872" t="s">
        <v>244</v>
      </c>
      <c r="C872" t="s">
        <v>374</v>
      </c>
      <c r="D872">
        <v>10</v>
      </c>
      <c r="E872" t="s">
        <v>387</v>
      </c>
      <c r="F872">
        <v>2024</v>
      </c>
      <c r="G872">
        <v>232.5</v>
      </c>
      <c r="H872">
        <v>0.34610000000000002</v>
      </c>
      <c r="I872">
        <v>8046.8249999999998</v>
      </c>
      <c r="J872" t="s">
        <v>372</v>
      </c>
    </row>
    <row r="873" spans="1:10" x14ac:dyDescent="0.35">
      <c r="A873" t="s">
        <v>1257</v>
      </c>
      <c r="B873" t="s">
        <v>35</v>
      </c>
      <c r="C873" t="s">
        <v>370</v>
      </c>
      <c r="D873">
        <v>6</v>
      </c>
      <c r="E873" t="s">
        <v>379</v>
      </c>
      <c r="F873">
        <v>2023</v>
      </c>
      <c r="G873">
        <v>159.36000000000001</v>
      </c>
      <c r="H873">
        <v>0.8407</v>
      </c>
      <c r="I873">
        <v>13397.395200000003</v>
      </c>
      <c r="J873" t="s">
        <v>372</v>
      </c>
    </row>
    <row r="874" spans="1:10" x14ac:dyDescent="0.35">
      <c r="A874" t="s">
        <v>1258</v>
      </c>
      <c r="B874" t="s">
        <v>175</v>
      </c>
      <c r="C874" t="s">
        <v>370</v>
      </c>
      <c r="D874">
        <v>12</v>
      </c>
      <c r="E874" t="s">
        <v>487</v>
      </c>
      <c r="F874">
        <v>2023</v>
      </c>
      <c r="G874">
        <v>211.65</v>
      </c>
      <c r="H874">
        <v>0.35299999999999998</v>
      </c>
      <c r="I874">
        <v>7471.2450000000008</v>
      </c>
      <c r="J874" t="s">
        <v>372</v>
      </c>
    </row>
    <row r="875" spans="1:10" x14ac:dyDescent="0.35">
      <c r="A875" t="s">
        <v>1259</v>
      </c>
      <c r="B875" t="s">
        <v>162</v>
      </c>
      <c r="C875" t="s">
        <v>374</v>
      </c>
      <c r="D875">
        <v>7</v>
      </c>
      <c r="E875" t="s">
        <v>375</v>
      </c>
      <c r="F875">
        <v>2023</v>
      </c>
      <c r="G875">
        <v>184.17</v>
      </c>
      <c r="H875">
        <v>0.53920000000000001</v>
      </c>
      <c r="I875">
        <v>9930.4463999999989</v>
      </c>
      <c r="J875" t="s">
        <v>372</v>
      </c>
    </row>
    <row r="876" spans="1:10" x14ac:dyDescent="0.35">
      <c r="A876" t="s">
        <v>1260</v>
      </c>
      <c r="B876" t="s">
        <v>169</v>
      </c>
      <c r="C876" t="s">
        <v>374</v>
      </c>
      <c r="D876">
        <v>1</v>
      </c>
      <c r="E876" t="s">
        <v>381</v>
      </c>
      <c r="F876">
        <v>2024</v>
      </c>
      <c r="G876">
        <v>36.799999999999997</v>
      </c>
      <c r="H876">
        <v>0.72240000000000004</v>
      </c>
      <c r="I876">
        <v>2658.4319999999998</v>
      </c>
      <c r="J876" t="s">
        <v>372</v>
      </c>
    </row>
    <row r="877" spans="1:10" x14ac:dyDescent="0.35">
      <c r="A877" t="s">
        <v>1261</v>
      </c>
      <c r="B877" t="s">
        <v>62</v>
      </c>
      <c r="C877" t="s">
        <v>374</v>
      </c>
      <c r="D877">
        <v>10</v>
      </c>
      <c r="E877" t="s">
        <v>387</v>
      </c>
      <c r="F877">
        <v>2024</v>
      </c>
      <c r="G877">
        <v>68.94</v>
      </c>
      <c r="H877">
        <v>0.66790000000000005</v>
      </c>
      <c r="I877">
        <v>4604.5025999999998</v>
      </c>
      <c r="J877" t="s">
        <v>372</v>
      </c>
    </row>
    <row r="878" spans="1:10" x14ac:dyDescent="0.35">
      <c r="A878" t="s">
        <v>1262</v>
      </c>
      <c r="B878" t="s">
        <v>206</v>
      </c>
      <c r="C878" t="s">
        <v>384</v>
      </c>
      <c r="D878">
        <v>5</v>
      </c>
      <c r="E878" t="s">
        <v>417</v>
      </c>
      <c r="F878">
        <v>2023</v>
      </c>
      <c r="G878">
        <v>207.01</v>
      </c>
      <c r="H878">
        <v>0.1066</v>
      </c>
      <c r="I878">
        <v>2206.7266</v>
      </c>
      <c r="J878" t="s">
        <v>372</v>
      </c>
    </row>
    <row r="879" spans="1:10" x14ac:dyDescent="0.35">
      <c r="A879" t="s">
        <v>1263</v>
      </c>
      <c r="B879" t="s">
        <v>255</v>
      </c>
      <c r="C879" t="s">
        <v>370</v>
      </c>
      <c r="D879">
        <v>6</v>
      </c>
      <c r="E879" t="s">
        <v>379</v>
      </c>
      <c r="F879">
        <v>2023</v>
      </c>
      <c r="G879">
        <v>66.02</v>
      </c>
      <c r="H879">
        <v>0.44090000000000001</v>
      </c>
      <c r="I879">
        <v>2910.8218000000002</v>
      </c>
      <c r="J879" t="s">
        <v>372</v>
      </c>
    </row>
    <row r="880" spans="1:10" x14ac:dyDescent="0.35">
      <c r="A880" t="s">
        <v>1264</v>
      </c>
      <c r="B880" t="s">
        <v>143</v>
      </c>
      <c r="C880" t="s">
        <v>384</v>
      </c>
      <c r="D880">
        <v>9</v>
      </c>
      <c r="E880" t="s">
        <v>403</v>
      </c>
      <c r="F880">
        <v>2023</v>
      </c>
      <c r="G880">
        <v>291.25</v>
      </c>
      <c r="H880">
        <v>0.57330000000000003</v>
      </c>
      <c r="I880">
        <v>16697.362499999999</v>
      </c>
      <c r="J880" t="s">
        <v>372</v>
      </c>
    </row>
    <row r="881" spans="1:10" x14ac:dyDescent="0.35">
      <c r="A881" t="s">
        <v>1265</v>
      </c>
      <c r="B881" t="s">
        <v>137</v>
      </c>
      <c r="C881" t="s">
        <v>374</v>
      </c>
      <c r="D881">
        <v>4</v>
      </c>
      <c r="E881" t="s">
        <v>394</v>
      </c>
      <c r="F881">
        <v>2023</v>
      </c>
      <c r="G881">
        <v>311.07</v>
      </c>
      <c r="H881">
        <v>0.1701</v>
      </c>
      <c r="I881">
        <v>5291.3006999999998</v>
      </c>
      <c r="J881" t="s">
        <v>372</v>
      </c>
    </row>
    <row r="882" spans="1:10" x14ac:dyDescent="0.35">
      <c r="A882" t="s">
        <v>1266</v>
      </c>
      <c r="B882" t="s">
        <v>327</v>
      </c>
      <c r="C882" t="s">
        <v>384</v>
      </c>
      <c r="D882">
        <v>5</v>
      </c>
      <c r="E882" t="s">
        <v>417</v>
      </c>
      <c r="F882">
        <v>2023</v>
      </c>
      <c r="G882">
        <v>327.66000000000003</v>
      </c>
      <c r="H882">
        <v>0.63890000000000002</v>
      </c>
      <c r="I882">
        <v>20934.197400000001</v>
      </c>
      <c r="J882" t="s">
        <v>372</v>
      </c>
    </row>
    <row r="883" spans="1:10" x14ac:dyDescent="0.35">
      <c r="A883" t="s">
        <v>1267</v>
      </c>
      <c r="B883" t="s">
        <v>276</v>
      </c>
      <c r="C883" t="s">
        <v>384</v>
      </c>
      <c r="D883">
        <v>6</v>
      </c>
      <c r="E883" t="s">
        <v>379</v>
      </c>
      <c r="F883">
        <v>2022</v>
      </c>
      <c r="G883">
        <v>126</v>
      </c>
      <c r="H883">
        <v>0.47049999999999997</v>
      </c>
      <c r="I883">
        <v>5928.2999999999993</v>
      </c>
      <c r="J883" t="s">
        <v>372</v>
      </c>
    </row>
    <row r="884" spans="1:10" x14ac:dyDescent="0.35">
      <c r="A884" t="s">
        <v>1268</v>
      </c>
      <c r="B884" t="s">
        <v>177</v>
      </c>
      <c r="C884" t="s">
        <v>384</v>
      </c>
      <c r="D884">
        <v>10</v>
      </c>
      <c r="E884" t="s">
        <v>387</v>
      </c>
      <c r="F884">
        <v>2024</v>
      </c>
      <c r="G884">
        <v>19.670000000000002</v>
      </c>
      <c r="H884">
        <v>0.61729999999999996</v>
      </c>
      <c r="I884">
        <v>1214.2291</v>
      </c>
      <c r="J884" t="s">
        <v>372</v>
      </c>
    </row>
    <row r="885" spans="1:10" x14ac:dyDescent="0.35">
      <c r="A885" t="s">
        <v>1269</v>
      </c>
      <c r="B885" t="s">
        <v>354</v>
      </c>
      <c r="C885" t="s">
        <v>374</v>
      </c>
      <c r="D885">
        <v>8</v>
      </c>
      <c r="E885" t="s">
        <v>377</v>
      </c>
      <c r="F885">
        <v>2022</v>
      </c>
      <c r="G885">
        <v>344.28</v>
      </c>
      <c r="H885">
        <v>0.47949999999999998</v>
      </c>
      <c r="I885">
        <v>16508.225999999999</v>
      </c>
      <c r="J885" t="s">
        <v>372</v>
      </c>
    </row>
    <row r="886" spans="1:10" x14ac:dyDescent="0.35">
      <c r="A886" t="s">
        <v>1270</v>
      </c>
      <c r="B886" t="s">
        <v>348</v>
      </c>
      <c r="C886" t="s">
        <v>370</v>
      </c>
      <c r="D886">
        <v>6</v>
      </c>
      <c r="E886" t="s">
        <v>379</v>
      </c>
      <c r="F886">
        <v>2023</v>
      </c>
      <c r="G886">
        <v>467.11</v>
      </c>
      <c r="H886">
        <v>0.70799999999999996</v>
      </c>
      <c r="I886">
        <v>33071.387999999999</v>
      </c>
      <c r="J886" t="s">
        <v>372</v>
      </c>
    </row>
    <row r="887" spans="1:10" x14ac:dyDescent="0.35">
      <c r="A887" t="s">
        <v>1271</v>
      </c>
      <c r="B887" t="s">
        <v>260</v>
      </c>
      <c r="C887" t="s">
        <v>374</v>
      </c>
      <c r="D887">
        <v>7</v>
      </c>
      <c r="E887" t="s">
        <v>375</v>
      </c>
      <c r="F887">
        <v>2024</v>
      </c>
      <c r="G887">
        <v>68.209999999999994</v>
      </c>
      <c r="H887">
        <v>0.39750000000000002</v>
      </c>
      <c r="I887">
        <v>2711.3474999999999</v>
      </c>
      <c r="J887" t="s">
        <v>372</v>
      </c>
    </row>
    <row r="888" spans="1:10" x14ac:dyDescent="0.35">
      <c r="A888" t="s">
        <v>1272</v>
      </c>
      <c r="B888" t="s">
        <v>281</v>
      </c>
      <c r="C888" t="s">
        <v>370</v>
      </c>
      <c r="D888">
        <v>10</v>
      </c>
      <c r="E888" t="s">
        <v>387</v>
      </c>
      <c r="F888">
        <v>2023</v>
      </c>
      <c r="G888">
        <v>0</v>
      </c>
      <c r="H888">
        <v>0.65769999999999995</v>
      </c>
      <c r="I888">
        <v>0</v>
      </c>
      <c r="J888" t="s">
        <v>423</v>
      </c>
    </row>
    <row r="889" spans="1:10" x14ac:dyDescent="0.35">
      <c r="A889" t="s">
        <v>1273</v>
      </c>
      <c r="B889" t="s">
        <v>344</v>
      </c>
      <c r="C889" t="s">
        <v>384</v>
      </c>
      <c r="D889">
        <v>10</v>
      </c>
      <c r="E889" t="s">
        <v>387</v>
      </c>
      <c r="F889">
        <v>2024</v>
      </c>
      <c r="G889">
        <v>330.38</v>
      </c>
      <c r="H889">
        <v>0.45340000000000003</v>
      </c>
      <c r="I889">
        <v>14979.4292</v>
      </c>
      <c r="J889" t="s">
        <v>372</v>
      </c>
    </row>
    <row r="890" spans="1:10" x14ac:dyDescent="0.35">
      <c r="A890" t="s">
        <v>1274</v>
      </c>
      <c r="B890" t="s">
        <v>221</v>
      </c>
      <c r="C890" t="s">
        <v>384</v>
      </c>
      <c r="D890">
        <v>2</v>
      </c>
      <c r="E890" t="s">
        <v>389</v>
      </c>
      <c r="F890">
        <v>2022</v>
      </c>
      <c r="G890">
        <v>302.10000000000002</v>
      </c>
      <c r="H890">
        <v>0.54459999999999997</v>
      </c>
      <c r="I890">
        <v>16452.366000000002</v>
      </c>
      <c r="J890" t="s">
        <v>372</v>
      </c>
    </row>
    <row r="891" spans="1:10" x14ac:dyDescent="0.35">
      <c r="A891" t="s">
        <v>1275</v>
      </c>
      <c r="B891" t="s">
        <v>263</v>
      </c>
      <c r="C891" t="s">
        <v>384</v>
      </c>
      <c r="D891">
        <v>5</v>
      </c>
      <c r="E891" t="s">
        <v>417</v>
      </c>
      <c r="F891">
        <v>2024</v>
      </c>
      <c r="G891">
        <v>469.34</v>
      </c>
      <c r="H891">
        <v>0.49070000000000003</v>
      </c>
      <c r="I891">
        <v>23030.513800000001</v>
      </c>
      <c r="J891" t="s">
        <v>372</v>
      </c>
    </row>
    <row r="892" spans="1:10" x14ac:dyDescent="0.35">
      <c r="A892" t="s">
        <v>1276</v>
      </c>
      <c r="B892" t="s">
        <v>344</v>
      </c>
      <c r="C892" t="s">
        <v>370</v>
      </c>
      <c r="D892">
        <v>6</v>
      </c>
      <c r="E892" t="s">
        <v>379</v>
      </c>
      <c r="F892">
        <v>2024</v>
      </c>
      <c r="G892">
        <v>124.08</v>
      </c>
      <c r="H892">
        <v>0.39650000000000002</v>
      </c>
      <c r="I892">
        <v>4919.7720000000008</v>
      </c>
      <c r="J892" t="s">
        <v>372</v>
      </c>
    </row>
    <row r="893" spans="1:10" x14ac:dyDescent="0.35">
      <c r="A893" t="s">
        <v>1277</v>
      </c>
      <c r="B893" t="s">
        <v>255</v>
      </c>
      <c r="C893" t="s">
        <v>370</v>
      </c>
      <c r="D893">
        <v>5</v>
      </c>
      <c r="E893" t="s">
        <v>417</v>
      </c>
      <c r="F893">
        <v>2022</v>
      </c>
      <c r="G893">
        <v>175.54</v>
      </c>
      <c r="H893">
        <v>0.76600000000000001</v>
      </c>
      <c r="I893">
        <v>13446.364</v>
      </c>
      <c r="J893" t="s">
        <v>372</v>
      </c>
    </row>
    <row r="894" spans="1:10" x14ac:dyDescent="0.35">
      <c r="A894" t="s">
        <v>1278</v>
      </c>
      <c r="B894" t="s">
        <v>313</v>
      </c>
      <c r="C894" t="s">
        <v>374</v>
      </c>
      <c r="D894">
        <v>3</v>
      </c>
      <c r="E894" t="s">
        <v>391</v>
      </c>
      <c r="F894">
        <v>2022</v>
      </c>
      <c r="G894">
        <v>110.09</v>
      </c>
      <c r="H894">
        <v>0.81410000000000005</v>
      </c>
      <c r="I894">
        <v>8962.4269000000004</v>
      </c>
      <c r="J894" t="s">
        <v>372</v>
      </c>
    </row>
    <row r="895" spans="1:10" x14ac:dyDescent="0.35">
      <c r="A895" t="s">
        <v>1279</v>
      </c>
      <c r="B895" t="s">
        <v>344</v>
      </c>
      <c r="C895" t="s">
        <v>384</v>
      </c>
      <c r="D895">
        <v>1</v>
      </c>
      <c r="E895" t="s">
        <v>381</v>
      </c>
      <c r="F895">
        <v>2024</v>
      </c>
      <c r="G895">
        <v>386.62</v>
      </c>
      <c r="H895">
        <v>0.12520000000000001</v>
      </c>
      <c r="I895">
        <v>4840.4824000000008</v>
      </c>
      <c r="J895" t="s">
        <v>372</v>
      </c>
    </row>
    <row r="896" spans="1:10" x14ac:dyDescent="0.35">
      <c r="A896" t="s">
        <v>1280</v>
      </c>
      <c r="B896" t="s">
        <v>9</v>
      </c>
      <c r="C896" t="s">
        <v>370</v>
      </c>
      <c r="D896">
        <v>12</v>
      </c>
      <c r="E896" t="s">
        <v>487</v>
      </c>
      <c r="F896">
        <v>2023</v>
      </c>
      <c r="G896">
        <v>104.6</v>
      </c>
      <c r="H896">
        <v>0.22969999999999999</v>
      </c>
      <c r="I896">
        <v>2402.6619999999998</v>
      </c>
      <c r="J896" t="s">
        <v>372</v>
      </c>
    </row>
    <row r="897" spans="1:10" x14ac:dyDescent="0.35">
      <c r="A897" t="s">
        <v>1281</v>
      </c>
      <c r="B897" t="s">
        <v>229</v>
      </c>
      <c r="C897" t="s">
        <v>370</v>
      </c>
      <c r="D897">
        <v>12</v>
      </c>
      <c r="E897" t="s">
        <v>487</v>
      </c>
      <c r="F897">
        <v>2022</v>
      </c>
      <c r="G897">
        <v>313.67</v>
      </c>
      <c r="H897">
        <v>0.73089999999999999</v>
      </c>
      <c r="I897">
        <v>22926.140299999999</v>
      </c>
      <c r="J897" t="s">
        <v>372</v>
      </c>
    </row>
    <row r="898" spans="1:10" x14ac:dyDescent="0.35">
      <c r="A898" t="s">
        <v>1282</v>
      </c>
      <c r="B898" t="s">
        <v>223</v>
      </c>
      <c r="C898" t="s">
        <v>370</v>
      </c>
      <c r="D898">
        <v>6</v>
      </c>
      <c r="E898" t="s">
        <v>379</v>
      </c>
      <c r="F898">
        <v>2022</v>
      </c>
      <c r="G898">
        <v>278.73</v>
      </c>
      <c r="H898">
        <v>0.28170000000000001</v>
      </c>
      <c r="I898">
        <v>7851.8241000000007</v>
      </c>
      <c r="J898" t="s">
        <v>372</v>
      </c>
    </row>
    <row r="899" spans="1:10" x14ac:dyDescent="0.35">
      <c r="A899" t="s">
        <v>1283</v>
      </c>
      <c r="B899" t="s">
        <v>78</v>
      </c>
      <c r="C899" t="s">
        <v>374</v>
      </c>
      <c r="D899">
        <v>12</v>
      </c>
      <c r="E899" t="s">
        <v>487</v>
      </c>
      <c r="F899">
        <v>2024</v>
      </c>
      <c r="G899">
        <v>470.48</v>
      </c>
      <c r="H899">
        <v>0.66020000000000001</v>
      </c>
      <c r="I899">
        <v>31061.089600000003</v>
      </c>
      <c r="J899" t="s">
        <v>372</v>
      </c>
    </row>
    <row r="900" spans="1:10" x14ac:dyDescent="0.35">
      <c r="A900" t="s">
        <v>1284</v>
      </c>
      <c r="B900" t="s">
        <v>45</v>
      </c>
      <c r="C900" t="s">
        <v>384</v>
      </c>
      <c r="D900">
        <v>3</v>
      </c>
      <c r="E900" t="s">
        <v>391</v>
      </c>
      <c r="F900">
        <v>2022</v>
      </c>
      <c r="G900">
        <v>249.83</v>
      </c>
      <c r="H900">
        <v>0.53310000000000002</v>
      </c>
      <c r="I900">
        <v>13318.437300000001</v>
      </c>
      <c r="J900" t="s">
        <v>372</v>
      </c>
    </row>
    <row r="901" spans="1:10" x14ac:dyDescent="0.35">
      <c r="A901" t="s">
        <v>1285</v>
      </c>
      <c r="B901" t="s">
        <v>145</v>
      </c>
      <c r="C901" t="s">
        <v>384</v>
      </c>
      <c r="D901">
        <v>7</v>
      </c>
      <c r="E901" t="s">
        <v>375</v>
      </c>
      <c r="F901">
        <v>2022</v>
      </c>
      <c r="G901">
        <v>194.4</v>
      </c>
      <c r="H901">
        <v>0.44469999999999998</v>
      </c>
      <c r="I901">
        <v>8644.9680000000008</v>
      </c>
      <c r="J901" t="s">
        <v>372</v>
      </c>
    </row>
    <row r="902" spans="1:10" x14ac:dyDescent="0.35">
      <c r="A902" t="s">
        <v>1286</v>
      </c>
      <c r="B902" t="s">
        <v>111</v>
      </c>
      <c r="C902" t="s">
        <v>370</v>
      </c>
      <c r="D902">
        <v>6</v>
      </c>
      <c r="E902" t="s">
        <v>379</v>
      </c>
      <c r="F902">
        <v>2024</v>
      </c>
      <c r="G902">
        <v>165.04</v>
      </c>
      <c r="H902">
        <v>0.69399999999999995</v>
      </c>
      <c r="I902">
        <v>11453.776</v>
      </c>
      <c r="J902" t="s">
        <v>372</v>
      </c>
    </row>
    <row r="903" spans="1:10" x14ac:dyDescent="0.35">
      <c r="A903" t="s">
        <v>1287</v>
      </c>
      <c r="B903" t="s">
        <v>317</v>
      </c>
      <c r="C903" t="s">
        <v>370</v>
      </c>
      <c r="D903">
        <v>6</v>
      </c>
      <c r="E903" t="s">
        <v>379</v>
      </c>
      <c r="F903">
        <v>2023</v>
      </c>
      <c r="G903">
        <v>433.4</v>
      </c>
      <c r="H903">
        <v>0.65590000000000004</v>
      </c>
      <c r="I903">
        <v>28426.706000000002</v>
      </c>
      <c r="J903" t="s">
        <v>372</v>
      </c>
    </row>
    <row r="904" spans="1:10" x14ac:dyDescent="0.35">
      <c r="A904" t="s">
        <v>1288</v>
      </c>
      <c r="B904" t="s">
        <v>309</v>
      </c>
      <c r="C904" t="s">
        <v>374</v>
      </c>
      <c r="D904">
        <v>12</v>
      </c>
      <c r="E904" t="s">
        <v>487</v>
      </c>
      <c r="F904">
        <v>2023</v>
      </c>
      <c r="G904">
        <v>52.94</v>
      </c>
      <c r="H904">
        <v>0.20130000000000001</v>
      </c>
      <c r="I904">
        <v>1065.6822</v>
      </c>
      <c r="J904" t="s">
        <v>372</v>
      </c>
    </row>
    <row r="905" spans="1:10" x14ac:dyDescent="0.35">
      <c r="A905" t="s">
        <v>1289</v>
      </c>
      <c r="B905" t="s">
        <v>127</v>
      </c>
      <c r="C905" t="s">
        <v>384</v>
      </c>
      <c r="D905">
        <v>4</v>
      </c>
      <c r="E905" t="s">
        <v>394</v>
      </c>
      <c r="F905">
        <v>2022</v>
      </c>
      <c r="G905">
        <v>95.1</v>
      </c>
      <c r="H905">
        <v>0.51160000000000005</v>
      </c>
      <c r="I905">
        <v>4865.3159999999998</v>
      </c>
      <c r="J905" t="s">
        <v>372</v>
      </c>
    </row>
    <row r="906" spans="1:10" x14ac:dyDescent="0.35">
      <c r="A906" t="s">
        <v>1290</v>
      </c>
      <c r="B906" t="s">
        <v>253</v>
      </c>
      <c r="C906" t="s">
        <v>374</v>
      </c>
      <c r="D906">
        <v>5</v>
      </c>
      <c r="E906" t="s">
        <v>417</v>
      </c>
      <c r="F906">
        <v>2022</v>
      </c>
      <c r="G906">
        <v>465.28</v>
      </c>
      <c r="H906">
        <v>0.17960000000000001</v>
      </c>
      <c r="I906">
        <v>8356.4287999999997</v>
      </c>
      <c r="J906" t="s">
        <v>372</v>
      </c>
    </row>
    <row r="907" spans="1:10" x14ac:dyDescent="0.35">
      <c r="A907" t="s">
        <v>1291</v>
      </c>
      <c r="B907" t="s">
        <v>37</v>
      </c>
      <c r="C907" t="s">
        <v>374</v>
      </c>
      <c r="D907">
        <v>3</v>
      </c>
      <c r="E907" t="s">
        <v>391</v>
      </c>
      <c r="F907">
        <v>2023</v>
      </c>
      <c r="G907">
        <v>45.58</v>
      </c>
      <c r="H907">
        <v>0.111</v>
      </c>
      <c r="I907">
        <v>505.93799999999999</v>
      </c>
      <c r="J907" t="s">
        <v>372</v>
      </c>
    </row>
    <row r="908" spans="1:10" x14ac:dyDescent="0.35">
      <c r="A908" t="s">
        <v>1292</v>
      </c>
      <c r="B908" t="s">
        <v>64</v>
      </c>
      <c r="C908" t="s">
        <v>370</v>
      </c>
      <c r="D908">
        <v>10</v>
      </c>
      <c r="E908" t="s">
        <v>387</v>
      </c>
      <c r="F908">
        <v>2022</v>
      </c>
      <c r="G908">
        <v>257.08999999999997</v>
      </c>
      <c r="H908">
        <v>0.67330000000000001</v>
      </c>
      <c r="I908">
        <v>17309.869699999999</v>
      </c>
      <c r="J908" t="s">
        <v>372</v>
      </c>
    </row>
    <row r="909" spans="1:10" x14ac:dyDescent="0.35">
      <c r="A909" t="s">
        <v>1293</v>
      </c>
      <c r="B909" t="s">
        <v>115</v>
      </c>
      <c r="C909" t="s">
        <v>370</v>
      </c>
      <c r="D909">
        <v>10</v>
      </c>
      <c r="E909" t="s">
        <v>387</v>
      </c>
      <c r="F909">
        <v>2024</v>
      </c>
      <c r="G909">
        <v>442.15</v>
      </c>
      <c r="H909">
        <v>0.49259999999999998</v>
      </c>
      <c r="I909">
        <v>21780.308999999997</v>
      </c>
      <c r="J909" t="s">
        <v>372</v>
      </c>
    </row>
    <row r="910" spans="1:10" x14ac:dyDescent="0.35">
      <c r="A910" t="s">
        <v>1294</v>
      </c>
      <c r="B910" t="s">
        <v>111</v>
      </c>
      <c r="C910" t="s">
        <v>370</v>
      </c>
      <c r="D910">
        <v>12</v>
      </c>
      <c r="E910" t="s">
        <v>487</v>
      </c>
      <c r="F910">
        <v>2022</v>
      </c>
      <c r="G910">
        <v>0</v>
      </c>
      <c r="H910">
        <v>0.2621</v>
      </c>
      <c r="I910">
        <v>0</v>
      </c>
      <c r="J910" t="s">
        <v>423</v>
      </c>
    </row>
    <row r="911" spans="1:10" x14ac:dyDescent="0.35">
      <c r="A911" t="s">
        <v>1295</v>
      </c>
      <c r="B911" t="s">
        <v>351</v>
      </c>
      <c r="C911" t="s">
        <v>384</v>
      </c>
      <c r="D911">
        <v>4</v>
      </c>
      <c r="E911" t="s">
        <v>394</v>
      </c>
      <c r="F911">
        <v>2022</v>
      </c>
      <c r="G911">
        <v>486.39</v>
      </c>
      <c r="H911">
        <v>0.34339999999999998</v>
      </c>
      <c r="I911">
        <v>16702.632599999997</v>
      </c>
      <c r="J911" t="s">
        <v>372</v>
      </c>
    </row>
    <row r="912" spans="1:10" x14ac:dyDescent="0.35">
      <c r="A912" t="s">
        <v>1296</v>
      </c>
      <c r="B912" t="s">
        <v>292</v>
      </c>
      <c r="C912" t="s">
        <v>370</v>
      </c>
      <c r="D912">
        <v>9</v>
      </c>
      <c r="E912" t="s">
        <v>403</v>
      </c>
      <c r="F912">
        <v>2024</v>
      </c>
      <c r="G912">
        <v>44.96</v>
      </c>
      <c r="H912">
        <v>0.12870000000000001</v>
      </c>
      <c r="I912">
        <v>578.63520000000005</v>
      </c>
      <c r="J912" t="s">
        <v>372</v>
      </c>
    </row>
    <row r="913" spans="1:10" x14ac:dyDescent="0.35">
      <c r="A913" t="s">
        <v>1297</v>
      </c>
      <c r="B913" t="s">
        <v>204</v>
      </c>
      <c r="C913" t="s">
        <v>374</v>
      </c>
      <c r="D913">
        <v>12</v>
      </c>
      <c r="E913" t="s">
        <v>487</v>
      </c>
      <c r="F913">
        <v>2024</v>
      </c>
      <c r="G913">
        <v>177.25</v>
      </c>
      <c r="H913">
        <v>0.78859999999999997</v>
      </c>
      <c r="I913">
        <v>13977.934999999999</v>
      </c>
      <c r="J913" t="s">
        <v>372</v>
      </c>
    </row>
    <row r="914" spans="1:10" x14ac:dyDescent="0.35">
      <c r="A914" t="s">
        <v>1298</v>
      </c>
      <c r="B914" t="s">
        <v>161</v>
      </c>
      <c r="C914" t="s">
        <v>384</v>
      </c>
      <c r="D914">
        <v>10</v>
      </c>
      <c r="E914" t="s">
        <v>387</v>
      </c>
      <c r="F914">
        <v>2023</v>
      </c>
      <c r="G914">
        <v>55.46</v>
      </c>
      <c r="H914">
        <v>0.47070000000000001</v>
      </c>
      <c r="I914">
        <v>2610.5022000000004</v>
      </c>
      <c r="J914" t="s">
        <v>372</v>
      </c>
    </row>
    <row r="915" spans="1:10" x14ac:dyDescent="0.35">
      <c r="A915" t="s">
        <v>1299</v>
      </c>
      <c r="B915" t="s">
        <v>135</v>
      </c>
      <c r="C915" t="s">
        <v>374</v>
      </c>
      <c r="D915">
        <v>5</v>
      </c>
      <c r="E915" t="s">
        <v>417</v>
      </c>
      <c r="F915">
        <v>2023</v>
      </c>
      <c r="G915">
        <v>454.35</v>
      </c>
      <c r="H915">
        <v>0.80100000000000005</v>
      </c>
      <c r="I915">
        <v>36393.435000000005</v>
      </c>
      <c r="J915" t="s">
        <v>372</v>
      </c>
    </row>
    <row r="916" spans="1:10" x14ac:dyDescent="0.35">
      <c r="A916" t="s">
        <v>1300</v>
      </c>
      <c r="B916" t="s">
        <v>97</v>
      </c>
      <c r="C916" t="s">
        <v>374</v>
      </c>
      <c r="D916">
        <v>8</v>
      </c>
      <c r="E916" t="s">
        <v>377</v>
      </c>
      <c r="F916">
        <v>2023</v>
      </c>
      <c r="G916">
        <v>208.68</v>
      </c>
      <c r="H916">
        <v>0.56220000000000003</v>
      </c>
      <c r="I916">
        <v>11731.989600000001</v>
      </c>
      <c r="J916" t="s">
        <v>372</v>
      </c>
    </row>
    <row r="917" spans="1:10" x14ac:dyDescent="0.35">
      <c r="A917" t="s">
        <v>1301</v>
      </c>
      <c r="B917" t="s">
        <v>113</v>
      </c>
      <c r="C917" t="s">
        <v>370</v>
      </c>
      <c r="D917">
        <v>4</v>
      </c>
      <c r="E917" t="s">
        <v>394</v>
      </c>
      <c r="F917">
        <v>2024</v>
      </c>
      <c r="G917">
        <v>441.06</v>
      </c>
      <c r="H917">
        <v>0.78369999999999995</v>
      </c>
      <c r="I917">
        <v>34565.872199999998</v>
      </c>
      <c r="J917" t="s">
        <v>372</v>
      </c>
    </row>
    <row r="918" spans="1:10" x14ac:dyDescent="0.35">
      <c r="A918" t="s">
        <v>1302</v>
      </c>
      <c r="B918" t="s">
        <v>158</v>
      </c>
      <c r="C918" t="s">
        <v>370</v>
      </c>
      <c r="D918">
        <v>7</v>
      </c>
      <c r="E918" t="s">
        <v>375</v>
      </c>
      <c r="F918">
        <v>2023</v>
      </c>
      <c r="G918">
        <v>86.83</v>
      </c>
      <c r="H918">
        <v>0.69589999999999996</v>
      </c>
      <c r="I918">
        <v>6042.4996999999994</v>
      </c>
      <c r="J918" t="s">
        <v>372</v>
      </c>
    </row>
    <row r="919" spans="1:10" x14ac:dyDescent="0.35">
      <c r="A919" t="s">
        <v>1303</v>
      </c>
      <c r="B919" t="s">
        <v>343</v>
      </c>
      <c r="C919" t="s">
        <v>384</v>
      </c>
      <c r="D919">
        <v>5</v>
      </c>
      <c r="E919" t="s">
        <v>417</v>
      </c>
      <c r="F919">
        <v>2024</v>
      </c>
      <c r="G919">
        <v>65.78</v>
      </c>
      <c r="H919">
        <v>0.4002</v>
      </c>
      <c r="I919">
        <v>2632.5156000000002</v>
      </c>
      <c r="J919" t="s">
        <v>372</v>
      </c>
    </row>
    <row r="920" spans="1:10" x14ac:dyDescent="0.35">
      <c r="A920" t="s">
        <v>1304</v>
      </c>
      <c r="B920" t="s">
        <v>313</v>
      </c>
      <c r="C920" t="s">
        <v>370</v>
      </c>
      <c r="D920">
        <v>2</v>
      </c>
      <c r="E920" t="s">
        <v>389</v>
      </c>
      <c r="F920">
        <v>2024</v>
      </c>
      <c r="G920">
        <v>272.95999999999998</v>
      </c>
      <c r="H920">
        <v>0.22339999999999999</v>
      </c>
      <c r="I920">
        <v>6097.9263999999994</v>
      </c>
      <c r="J920" t="s">
        <v>372</v>
      </c>
    </row>
    <row r="921" spans="1:10" x14ac:dyDescent="0.35">
      <c r="A921" t="s">
        <v>1305</v>
      </c>
      <c r="B921" t="s">
        <v>227</v>
      </c>
      <c r="C921" t="s">
        <v>384</v>
      </c>
      <c r="D921">
        <v>3</v>
      </c>
      <c r="E921" t="s">
        <v>391</v>
      </c>
      <c r="F921">
        <v>2023</v>
      </c>
      <c r="G921">
        <v>337.88</v>
      </c>
      <c r="H921">
        <v>0.36170000000000002</v>
      </c>
      <c r="I921">
        <v>12221.1196</v>
      </c>
      <c r="J921" t="s">
        <v>372</v>
      </c>
    </row>
    <row r="922" spans="1:10" x14ac:dyDescent="0.35">
      <c r="A922" t="s">
        <v>1306</v>
      </c>
      <c r="B922" t="s">
        <v>356</v>
      </c>
      <c r="C922" t="s">
        <v>370</v>
      </c>
      <c r="D922">
        <v>10</v>
      </c>
      <c r="E922" t="s">
        <v>387</v>
      </c>
      <c r="F922">
        <v>2023</v>
      </c>
      <c r="G922">
        <v>220.36</v>
      </c>
      <c r="H922">
        <v>0.52539999999999998</v>
      </c>
      <c r="I922">
        <v>11577.714400000001</v>
      </c>
      <c r="J922" t="s">
        <v>372</v>
      </c>
    </row>
    <row r="923" spans="1:10" x14ac:dyDescent="0.35">
      <c r="A923" t="s">
        <v>1307</v>
      </c>
      <c r="B923" t="s">
        <v>301</v>
      </c>
      <c r="C923" t="s">
        <v>370</v>
      </c>
      <c r="D923">
        <v>3</v>
      </c>
      <c r="E923" t="s">
        <v>391</v>
      </c>
      <c r="F923">
        <v>2022</v>
      </c>
      <c r="G923">
        <v>257.36</v>
      </c>
      <c r="H923">
        <v>0.70150000000000001</v>
      </c>
      <c r="I923">
        <v>18053.804000000004</v>
      </c>
      <c r="J923" t="s">
        <v>372</v>
      </c>
    </row>
    <row r="924" spans="1:10" x14ac:dyDescent="0.35">
      <c r="A924" t="s">
        <v>1308</v>
      </c>
      <c r="B924" t="s">
        <v>359</v>
      </c>
      <c r="C924" t="s">
        <v>374</v>
      </c>
      <c r="D924">
        <v>1</v>
      </c>
      <c r="E924" t="s">
        <v>381</v>
      </c>
      <c r="F924">
        <v>2022</v>
      </c>
      <c r="G924">
        <v>396.71</v>
      </c>
      <c r="H924">
        <v>0.13139999999999999</v>
      </c>
      <c r="I924">
        <v>5212.7693999999992</v>
      </c>
      <c r="J924" t="s">
        <v>372</v>
      </c>
    </row>
    <row r="925" spans="1:10" x14ac:dyDescent="0.35">
      <c r="A925" t="s">
        <v>1309</v>
      </c>
      <c r="B925" t="s">
        <v>337</v>
      </c>
      <c r="C925" t="s">
        <v>370</v>
      </c>
      <c r="D925">
        <v>8</v>
      </c>
      <c r="E925" t="s">
        <v>377</v>
      </c>
      <c r="F925">
        <v>2022</v>
      </c>
      <c r="G925">
        <v>466.6</v>
      </c>
      <c r="H925">
        <v>0.29330000000000001</v>
      </c>
      <c r="I925">
        <v>13685.378000000001</v>
      </c>
      <c r="J925" t="s">
        <v>372</v>
      </c>
    </row>
    <row r="926" spans="1:10" x14ac:dyDescent="0.35">
      <c r="A926" t="s">
        <v>1310</v>
      </c>
      <c r="B926" t="s">
        <v>359</v>
      </c>
      <c r="C926" t="s">
        <v>374</v>
      </c>
      <c r="D926">
        <v>6</v>
      </c>
      <c r="E926" t="s">
        <v>379</v>
      </c>
      <c r="F926">
        <v>2024</v>
      </c>
      <c r="G926">
        <v>308.18</v>
      </c>
      <c r="H926">
        <v>0.53879999999999995</v>
      </c>
      <c r="I926">
        <v>16604.738399999998</v>
      </c>
      <c r="J926" t="s">
        <v>372</v>
      </c>
    </row>
    <row r="927" spans="1:10" x14ac:dyDescent="0.35">
      <c r="A927" t="s">
        <v>1311</v>
      </c>
      <c r="B927" t="s">
        <v>131</v>
      </c>
      <c r="C927" t="s">
        <v>384</v>
      </c>
      <c r="D927">
        <v>3</v>
      </c>
      <c r="E927" t="s">
        <v>391</v>
      </c>
      <c r="F927">
        <v>2023</v>
      </c>
      <c r="G927">
        <v>178.62</v>
      </c>
      <c r="H927">
        <v>0.11020000000000001</v>
      </c>
      <c r="I927">
        <v>1968.3924000000002</v>
      </c>
      <c r="J927" t="s">
        <v>372</v>
      </c>
    </row>
    <row r="928" spans="1:10" x14ac:dyDescent="0.35">
      <c r="A928" t="s">
        <v>1312</v>
      </c>
      <c r="B928" t="s">
        <v>290</v>
      </c>
      <c r="C928" t="s">
        <v>374</v>
      </c>
      <c r="D928">
        <v>7</v>
      </c>
      <c r="E928" t="s">
        <v>375</v>
      </c>
      <c r="F928">
        <v>2024</v>
      </c>
      <c r="G928">
        <v>247.42</v>
      </c>
      <c r="H928">
        <v>0.30919999999999997</v>
      </c>
      <c r="I928">
        <v>7650.2263999999996</v>
      </c>
      <c r="J928" t="s">
        <v>372</v>
      </c>
    </row>
    <row r="929" spans="1:10" x14ac:dyDescent="0.35">
      <c r="A929" t="s">
        <v>1313</v>
      </c>
      <c r="B929" t="s">
        <v>329</v>
      </c>
      <c r="C929" t="s">
        <v>374</v>
      </c>
      <c r="D929">
        <v>3</v>
      </c>
      <c r="E929" t="s">
        <v>391</v>
      </c>
      <c r="F929">
        <v>2024</v>
      </c>
      <c r="G929">
        <v>427.13</v>
      </c>
      <c r="H929">
        <v>0.75949999999999995</v>
      </c>
      <c r="I929">
        <v>32440.523499999999</v>
      </c>
      <c r="J929" t="s">
        <v>372</v>
      </c>
    </row>
    <row r="930" spans="1:10" x14ac:dyDescent="0.35">
      <c r="A930" t="s">
        <v>1314</v>
      </c>
      <c r="B930" t="s">
        <v>181</v>
      </c>
      <c r="C930" t="s">
        <v>384</v>
      </c>
      <c r="D930">
        <v>11</v>
      </c>
      <c r="E930" t="s">
        <v>371</v>
      </c>
      <c r="F930">
        <v>2022</v>
      </c>
      <c r="G930">
        <v>309.06</v>
      </c>
      <c r="H930">
        <v>0.22309999999999999</v>
      </c>
      <c r="I930">
        <v>6895.1286</v>
      </c>
      <c r="J930" t="s">
        <v>372</v>
      </c>
    </row>
    <row r="931" spans="1:10" x14ac:dyDescent="0.35">
      <c r="A931" t="s">
        <v>1315</v>
      </c>
      <c r="B931" t="s">
        <v>117</v>
      </c>
      <c r="C931" t="s">
        <v>374</v>
      </c>
      <c r="D931">
        <v>7</v>
      </c>
      <c r="E931" t="s">
        <v>375</v>
      </c>
      <c r="F931">
        <v>2022</v>
      </c>
      <c r="G931">
        <v>322.97000000000003</v>
      </c>
      <c r="H931">
        <v>0.80549999999999999</v>
      </c>
      <c r="I931">
        <v>26015.233499999998</v>
      </c>
      <c r="J931" t="s">
        <v>372</v>
      </c>
    </row>
    <row r="932" spans="1:10" x14ac:dyDescent="0.35">
      <c r="A932" t="s">
        <v>1316</v>
      </c>
      <c r="B932" t="s">
        <v>221</v>
      </c>
      <c r="C932" t="s">
        <v>370</v>
      </c>
      <c r="D932">
        <v>8</v>
      </c>
      <c r="E932" t="s">
        <v>377</v>
      </c>
      <c r="F932">
        <v>2024</v>
      </c>
      <c r="G932">
        <v>274.93</v>
      </c>
      <c r="H932">
        <v>0.28249999999999997</v>
      </c>
      <c r="I932">
        <v>7766.7724999999991</v>
      </c>
      <c r="J932" t="s">
        <v>372</v>
      </c>
    </row>
    <row r="933" spans="1:10" x14ac:dyDescent="0.35">
      <c r="A933" t="s">
        <v>1317</v>
      </c>
      <c r="B933" t="s">
        <v>187</v>
      </c>
      <c r="C933" t="s">
        <v>370</v>
      </c>
      <c r="D933">
        <v>12</v>
      </c>
      <c r="E933" t="s">
        <v>487</v>
      </c>
      <c r="F933">
        <v>2024</v>
      </c>
      <c r="G933">
        <v>320.8</v>
      </c>
      <c r="H933">
        <v>0.57920000000000005</v>
      </c>
      <c r="I933">
        <v>18580.736000000001</v>
      </c>
      <c r="J933" t="s">
        <v>372</v>
      </c>
    </row>
    <row r="934" spans="1:10" x14ac:dyDescent="0.35">
      <c r="A934" t="s">
        <v>1318</v>
      </c>
      <c r="B934" t="s">
        <v>21</v>
      </c>
      <c r="C934" t="s">
        <v>384</v>
      </c>
      <c r="D934">
        <v>8</v>
      </c>
      <c r="E934" t="s">
        <v>377</v>
      </c>
      <c r="F934">
        <v>2024</v>
      </c>
      <c r="G934">
        <v>124.97</v>
      </c>
      <c r="H934">
        <v>0.28870000000000001</v>
      </c>
      <c r="I934">
        <v>3607.8839000000003</v>
      </c>
      <c r="J934" t="s">
        <v>372</v>
      </c>
    </row>
    <row r="935" spans="1:10" x14ac:dyDescent="0.35">
      <c r="A935" t="s">
        <v>1319</v>
      </c>
      <c r="B935" t="s">
        <v>300</v>
      </c>
      <c r="C935" t="s">
        <v>384</v>
      </c>
      <c r="D935">
        <v>8</v>
      </c>
      <c r="E935" t="s">
        <v>377</v>
      </c>
      <c r="F935">
        <v>2024</v>
      </c>
      <c r="G935">
        <v>343.6</v>
      </c>
      <c r="H935">
        <v>0.40129999999999999</v>
      </c>
      <c r="I935">
        <v>13788.668000000001</v>
      </c>
      <c r="J935" t="s">
        <v>372</v>
      </c>
    </row>
    <row r="936" spans="1:10" x14ac:dyDescent="0.35">
      <c r="A936" t="s">
        <v>1320</v>
      </c>
      <c r="B936" t="s">
        <v>66</v>
      </c>
      <c r="C936" t="s">
        <v>374</v>
      </c>
      <c r="D936">
        <v>4</v>
      </c>
      <c r="E936" t="s">
        <v>394</v>
      </c>
      <c r="F936">
        <v>2023</v>
      </c>
      <c r="G936">
        <v>298.31</v>
      </c>
      <c r="H936">
        <v>0.65380000000000005</v>
      </c>
      <c r="I936">
        <v>19503.507800000003</v>
      </c>
      <c r="J936" t="s">
        <v>372</v>
      </c>
    </row>
    <row r="937" spans="1:10" x14ac:dyDescent="0.35">
      <c r="A937" t="s">
        <v>1321</v>
      </c>
      <c r="B937" t="s">
        <v>193</v>
      </c>
      <c r="C937" t="s">
        <v>374</v>
      </c>
      <c r="D937">
        <v>1</v>
      </c>
      <c r="E937" t="s">
        <v>381</v>
      </c>
      <c r="F937">
        <v>2024</v>
      </c>
      <c r="G937">
        <v>399.93</v>
      </c>
      <c r="H937">
        <v>0.1497</v>
      </c>
      <c r="I937">
        <v>5986.9520999999995</v>
      </c>
      <c r="J937" t="s">
        <v>372</v>
      </c>
    </row>
    <row r="938" spans="1:10" x14ac:dyDescent="0.35">
      <c r="A938" t="s">
        <v>1322</v>
      </c>
      <c r="B938" t="s">
        <v>158</v>
      </c>
      <c r="C938" t="s">
        <v>384</v>
      </c>
      <c r="D938">
        <v>5</v>
      </c>
      <c r="E938" t="s">
        <v>417</v>
      </c>
      <c r="F938">
        <v>2024</v>
      </c>
      <c r="G938">
        <v>96.75</v>
      </c>
      <c r="H938">
        <v>0.54820000000000002</v>
      </c>
      <c r="I938">
        <v>5303.835</v>
      </c>
      <c r="J938" t="s">
        <v>372</v>
      </c>
    </row>
    <row r="939" spans="1:10" x14ac:dyDescent="0.35">
      <c r="A939" t="s">
        <v>1323</v>
      </c>
      <c r="B939" t="s">
        <v>317</v>
      </c>
      <c r="C939" t="s">
        <v>370</v>
      </c>
      <c r="D939">
        <v>4</v>
      </c>
      <c r="E939" t="s">
        <v>394</v>
      </c>
      <c r="F939">
        <v>2023</v>
      </c>
      <c r="G939">
        <v>440.75</v>
      </c>
      <c r="H939">
        <v>0.47299999999999998</v>
      </c>
      <c r="I939">
        <v>20847.474999999999</v>
      </c>
      <c r="J939" t="s">
        <v>372</v>
      </c>
    </row>
    <row r="940" spans="1:10" x14ac:dyDescent="0.35">
      <c r="A940" t="s">
        <v>1324</v>
      </c>
      <c r="B940" t="s">
        <v>289</v>
      </c>
      <c r="C940" t="s">
        <v>370</v>
      </c>
      <c r="D940">
        <v>8</v>
      </c>
      <c r="E940" t="s">
        <v>377</v>
      </c>
      <c r="F940">
        <v>2022</v>
      </c>
      <c r="G940">
        <v>163.16999999999999</v>
      </c>
      <c r="H940">
        <v>0.63880000000000003</v>
      </c>
      <c r="I940">
        <v>10423.2996</v>
      </c>
      <c r="J940" t="s">
        <v>372</v>
      </c>
    </row>
    <row r="941" spans="1:10" x14ac:dyDescent="0.35">
      <c r="A941" t="s">
        <v>1325</v>
      </c>
      <c r="B941" t="s">
        <v>299</v>
      </c>
      <c r="C941" t="s">
        <v>384</v>
      </c>
      <c r="D941">
        <v>9</v>
      </c>
      <c r="E941" t="s">
        <v>403</v>
      </c>
      <c r="F941">
        <v>2023</v>
      </c>
      <c r="G941">
        <v>481.56</v>
      </c>
      <c r="H941">
        <v>0.30620000000000003</v>
      </c>
      <c r="I941">
        <v>14745.367200000001</v>
      </c>
      <c r="J941" t="s">
        <v>372</v>
      </c>
    </row>
    <row r="942" spans="1:10" x14ac:dyDescent="0.35">
      <c r="A942" t="s">
        <v>1326</v>
      </c>
      <c r="B942" t="s">
        <v>202</v>
      </c>
      <c r="C942" t="s">
        <v>370</v>
      </c>
      <c r="D942">
        <v>5</v>
      </c>
      <c r="E942" t="s">
        <v>417</v>
      </c>
      <c r="F942">
        <v>2024</v>
      </c>
      <c r="G942">
        <v>0</v>
      </c>
      <c r="H942">
        <v>0.44969999999999999</v>
      </c>
      <c r="I942">
        <v>0</v>
      </c>
      <c r="J942" t="s">
        <v>423</v>
      </c>
    </row>
    <row r="943" spans="1:10" x14ac:dyDescent="0.35">
      <c r="A943" t="s">
        <v>1327</v>
      </c>
      <c r="B943" t="s">
        <v>168</v>
      </c>
      <c r="C943" t="s">
        <v>370</v>
      </c>
      <c r="D943">
        <v>10</v>
      </c>
      <c r="E943" t="s">
        <v>387</v>
      </c>
      <c r="F943">
        <v>2022</v>
      </c>
      <c r="G943">
        <v>408.56</v>
      </c>
      <c r="H943">
        <v>0.24859999999999999</v>
      </c>
      <c r="I943">
        <v>10156.801600000001</v>
      </c>
      <c r="J943" t="s">
        <v>372</v>
      </c>
    </row>
    <row r="944" spans="1:10" x14ac:dyDescent="0.35">
      <c r="A944" t="s">
        <v>1328</v>
      </c>
      <c r="B944" t="s">
        <v>156</v>
      </c>
      <c r="C944" t="s">
        <v>384</v>
      </c>
      <c r="D944">
        <v>8</v>
      </c>
      <c r="E944" t="s">
        <v>377</v>
      </c>
      <c r="F944">
        <v>2023</v>
      </c>
      <c r="G944">
        <v>302.19</v>
      </c>
      <c r="H944">
        <v>0.65039999999999998</v>
      </c>
      <c r="I944">
        <v>19654.437600000001</v>
      </c>
      <c r="J944" t="s">
        <v>372</v>
      </c>
    </row>
    <row r="945" spans="1:10" x14ac:dyDescent="0.35">
      <c r="A945" t="s">
        <v>1329</v>
      </c>
      <c r="B945" t="s">
        <v>183</v>
      </c>
      <c r="C945" t="s">
        <v>370</v>
      </c>
      <c r="D945">
        <v>1</v>
      </c>
      <c r="E945" t="s">
        <v>381</v>
      </c>
      <c r="F945">
        <v>2024</v>
      </c>
      <c r="G945">
        <v>366.61</v>
      </c>
      <c r="H945">
        <v>0.70920000000000005</v>
      </c>
      <c r="I945">
        <v>25999.981200000002</v>
      </c>
      <c r="J945" t="s">
        <v>372</v>
      </c>
    </row>
    <row r="946" spans="1:10" x14ac:dyDescent="0.35">
      <c r="A946" t="s">
        <v>1330</v>
      </c>
      <c r="B946" t="s">
        <v>183</v>
      </c>
      <c r="C946" t="s">
        <v>384</v>
      </c>
      <c r="D946">
        <v>10</v>
      </c>
      <c r="E946" t="s">
        <v>387</v>
      </c>
      <c r="F946">
        <v>2023</v>
      </c>
      <c r="G946">
        <v>317.05</v>
      </c>
      <c r="H946">
        <v>0.78010000000000002</v>
      </c>
      <c r="I946">
        <v>24733.070500000002</v>
      </c>
      <c r="J946" t="s">
        <v>372</v>
      </c>
    </row>
    <row r="947" spans="1:10" x14ac:dyDescent="0.35">
      <c r="A947" t="s">
        <v>1331</v>
      </c>
      <c r="B947" t="s">
        <v>265</v>
      </c>
      <c r="C947" t="s">
        <v>374</v>
      </c>
      <c r="D947">
        <v>8</v>
      </c>
      <c r="E947" t="s">
        <v>377</v>
      </c>
      <c r="F947">
        <v>2023</v>
      </c>
      <c r="G947">
        <v>498.87</v>
      </c>
      <c r="H947">
        <v>0.46210000000000001</v>
      </c>
      <c r="I947">
        <v>23052.7827</v>
      </c>
      <c r="J947" t="s">
        <v>372</v>
      </c>
    </row>
    <row r="948" spans="1:10" x14ac:dyDescent="0.35">
      <c r="A948" t="s">
        <v>1332</v>
      </c>
      <c r="B948" t="s">
        <v>84</v>
      </c>
      <c r="C948" t="s">
        <v>384</v>
      </c>
      <c r="D948">
        <v>8</v>
      </c>
      <c r="E948" t="s">
        <v>377</v>
      </c>
      <c r="F948">
        <v>2022</v>
      </c>
      <c r="G948">
        <v>223.58</v>
      </c>
      <c r="H948">
        <v>0.31380000000000002</v>
      </c>
      <c r="I948">
        <v>7015.9404000000013</v>
      </c>
      <c r="J948" t="s">
        <v>372</v>
      </c>
    </row>
    <row r="949" spans="1:10" x14ac:dyDescent="0.35">
      <c r="A949" t="s">
        <v>1333</v>
      </c>
      <c r="B949" t="s">
        <v>274</v>
      </c>
      <c r="C949" t="s">
        <v>370</v>
      </c>
      <c r="D949">
        <v>6</v>
      </c>
      <c r="E949" t="s">
        <v>379</v>
      </c>
      <c r="F949">
        <v>2024</v>
      </c>
      <c r="G949">
        <v>267.48</v>
      </c>
      <c r="H949">
        <v>0.46250000000000002</v>
      </c>
      <c r="I949">
        <v>12370.950000000003</v>
      </c>
      <c r="J949" t="s">
        <v>372</v>
      </c>
    </row>
    <row r="950" spans="1:10" x14ac:dyDescent="0.35">
      <c r="A950" t="s">
        <v>1334</v>
      </c>
      <c r="B950" t="s">
        <v>125</v>
      </c>
      <c r="C950" t="s">
        <v>374</v>
      </c>
      <c r="D950">
        <v>7</v>
      </c>
      <c r="E950" t="s">
        <v>375</v>
      </c>
      <c r="F950">
        <v>2024</v>
      </c>
      <c r="G950">
        <v>384.76</v>
      </c>
      <c r="H950">
        <v>0.67449999999999999</v>
      </c>
      <c r="I950">
        <v>25952.062000000002</v>
      </c>
      <c r="J950" t="s">
        <v>372</v>
      </c>
    </row>
    <row r="951" spans="1:10" x14ac:dyDescent="0.35">
      <c r="A951" t="s">
        <v>1335</v>
      </c>
      <c r="B951" t="s">
        <v>41</v>
      </c>
      <c r="C951" t="s">
        <v>384</v>
      </c>
      <c r="D951">
        <v>11</v>
      </c>
      <c r="E951" t="s">
        <v>371</v>
      </c>
      <c r="F951">
        <v>2023</v>
      </c>
      <c r="G951">
        <v>13.35</v>
      </c>
      <c r="H951">
        <v>0.38769999999999999</v>
      </c>
      <c r="I951">
        <v>517.57949999999994</v>
      </c>
      <c r="J951" t="s">
        <v>372</v>
      </c>
    </row>
    <row r="952" spans="1:10" x14ac:dyDescent="0.35">
      <c r="A952" t="s">
        <v>1336</v>
      </c>
      <c r="B952" t="s">
        <v>307</v>
      </c>
      <c r="C952" t="s">
        <v>370</v>
      </c>
      <c r="D952">
        <v>9</v>
      </c>
      <c r="E952" t="s">
        <v>403</v>
      </c>
      <c r="F952">
        <v>2022</v>
      </c>
      <c r="G952">
        <v>447.51</v>
      </c>
      <c r="H952">
        <v>0.41289999999999999</v>
      </c>
      <c r="I952">
        <v>18477.687899999997</v>
      </c>
      <c r="J952" t="s">
        <v>372</v>
      </c>
    </row>
    <row r="953" spans="1:10" x14ac:dyDescent="0.35">
      <c r="A953" t="s">
        <v>1337</v>
      </c>
      <c r="B953" t="s">
        <v>317</v>
      </c>
      <c r="C953" t="s">
        <v>374</v>
      </c>
      <c r="D953">
        <v>7</v>
      </c>
      <c r="E953" t="s">
        <v>375</v>
      </c>
      <c r="F953">
        <v>2023</v>
      </c>
      <c r="G953">
        <v>324.27999999999997</v>
      </c>
      <c r="H953">
        <v>0.62809999999999999</v>
      </c>
      <c r="I953">
        <v>20368.0268</v>
      </c>
      <c r="J953" t="s">
        <v>372</v>
      </c>
    </row>
    <row r="954" spans="1:10" x14ac:dyDescent="0.35">
      <c r="A954" t="s">
        <v>1338</v>
      </c>
      <c r="B954" t="s">
        <v>250</v>
      </c>
      <c r="C954" t="s">
        <v>384</v>
      </c>
      <c r="D954">
        <v>3</v>
      </c>
      <c r="E954" t="s">
        <v>391</v>
      </c>
      <c r="F954">
        <v>2022</v>
      </c>
      <c r="G954">
        <v>203.62</v>
      </c>
      <c r="H954">
        <v>0.53959999999999997</v>
      </c>
      <c r="I954">
        <v>10987.3352</v>
      </c>
      <c r="J954" t="s">
        <v>372</v>
      </c>
    </row>
    <row r="955" spans="1:10" x14ac:dyDescent="0.35">
      <c r="A955" t="s">
        <v>1339</v>
      </c>
      <c r="B955" t="s">
        <v>350</v>
      </c>
      <c r="C955" t="s">
        <v>374</v>
      </c>
      <c r="D955">
        <v>11</v>
      </c>
      <c r="E955" t="s">
        <v>371</v>
      </c>
      <c r="F955">
        <v>2022</v>
      </c>
      <c r="G955">
        <v>218.69</v>
      </c>
      <c r="H955">
        <v>0.30230000000000001</v>
      </c>
      <c r="I955">
        <v>6610.9987000000001</v>
      </c>
      <c r="J955" t="s">
        <v>372</v>
      </c>
    </row>
    <row r="956" spans="1:10" x14ac:dyDescent="0.35">
      <c r="A956" t="s">
        <v>1340</v>
      </c>
      <c r="B956" t="s">
        <v>179</v>
      </c>
      <c r="C956" t="s">
        <v>374</v>
      </c>
      <c r="D956">
        <v>2</v>
      </c>
      <c r="E956" t="s">
        <v>389</v>
      </c>
      <c r="F956">
        <v>2022</v>
      </c>
      <c r="G956">
        <v>222.56</v>
      </c>
      <c r="H956">
        <v>0.1134</v>
      </c>
      <c r="I956">
        <v>2523.8303999999998</v>
      </c>
      <c r="J956" t="s">
        <v>372</v>
      </c>
    </row>
    <row r="957" spans="1:10" x14ac:dyDescent="0.35">
      <c r="A957" t="s">
        <v>1341</v>
      </c>
      <c r="B957" t="s">
        <v>161</v>
      </c>
      <c r="C957" t="s">
        <v>384</v>
      </c>
      <c r="D957">
        <v>1</v>
      </c>
      <c r="E957" t="s">
        <v>381</v>
      </c>
      <c r="F957">
        <v>2022</v>
      </c>
      <c r="G957">
        <v>270.13</v>
      </c>
      <c r="H957">
        <v>0.36399999999999999</v>
      </c>
      <c r="I957">
        <v>9832.732</v>
      </c>
      <c r="J957" t="s">
        <v>372</v>
      </c>
    </row>
    <row r="958" spans="1:10" x14ac:dyDescent="0.35">
      <c r="A958" t="s">
        <v>1342</v>
      </c>
      <c r="B958" t="s">
        <v>5</v>
      </c>
      <c r="C958" t="s">
        <v>370</v>
      </c>
      <c r="D958">
        <v>4</v>
      </c>
      <c r="E958" t="s">
        <v>394</v>
      </c>
      <c r="F958">
        <v>2023</v>
      </c>
      <c r="G958">
        <v>479.24</v>
      </c>
      <c r="H958">
        <v>0.83189999999999997</v>
      </c>
      <c r="I958">
        <v>39867.975599999998</v>
      </c>
      <c r="J958" t="s">
        <v>372</v>
      </c>
    </row>
    <row r="959" spans="1:10" x14ac:dyDescent="0.35">
      <c r="A959" t="s">
        <v>1343</v>
      </c>
      <c r="B959" t="s">
        <v>143</v>
      </c>
      <c r="C959" t="s">
        <v>370</v>
      </c>
      <c r="D959">
        <v>7</v>
      </c>
      <c r="E959" t="s">
        <v>375</v>
      </c>
      <c r="F959">
        <v>2023</v>
      </c>
      <c r="G959">
        <v>77.73</v>
      </c>
      <c r="H959">
        <v>0.80800000000000005</v>
      </c>
      <c r="I959">
        <v>6280.5840000000007</v>
      </c>
      <c r="J959" t="s">
        <v>372</v>
      </c>
    </row>
    <row r="960" spans="1:10" x14ac:dyDescent="0.35">
      <c r="A960" t="s">
        <v>1344</v>
      </c>
      <c r="B960" t="s">
        <v>306</v>
      </c>
      <c r="C960" t="s">
        <v>374</v>
      </c>
      <c r="D960">
        <v>9</v>
      </c>
      <c r="E960" t="s">
        <v>403</v>
      </c>
      <c r="F960">
        <v>2022</v>
      </c>
      <c r="G960">
        <v>86.89</v>
      </c>
      <c r="H960">
        <v>0.73660000000000003</v>
      </c>
      <c r="I960">
        <v>6400.3173999999999</v>
      </c>
      <c r="J960" t="s">
        <v>372</v>
      </c>
    </row>
    <row r="961" spans="1:10" x14ac:dyDescent="0.35">
      <c r="A961" t="s">
        <v>1345</v>
      </c>
      <c r="B961" t="s">
        <v>121</v>
      </c>
      <c r="C961" t="s">
        <v>370</v>
      </c>
      <c r="D961">
        <v>8</v>
      </c>
      <c r="E961" t="s">
        <v>377</v>
      </c>
      <c r="F961">
        <v>2022</v>
      </c>
      <c r="G961">
        <v>157.44</v>
      </c>
      <c r="H961">
        <v>0.80220000000000002</v>
      </c>
      <c r="I961">
        <v>12629.836799999999</v>
      </c>
      <c r="J961" t="s">
        <v>372</v>
      </c>
    </row>
    <row r="962" spans="1:10" x14ac:dyDescent="0.35">
      <c r="A962" t="s">
        <v>1346</v>
      </c>
      <c r="B962" t="s">
        <v>32</v>
      </c>
      <c r="C962" t="s">
        <v>374</v>
      </c>
      <c r="D962">
        <v>2</v>
      </c>
      <c r="E962" t="s">
        <v>389</v>
      </c>
      <c r="F962">
        <v>2024</v>
      </c>
      <c r="G962">
        <v>71.42</v>
      </c>
      <c r="H962">
        <v>0.19769999999999999</v>
      </c>
      <c r="I962">
        <v>1411.9733999999999</v>
      </c>
      <c r="J962" t="s">
        <v>372</v>
      </c>
    </row>
    <row r="963" spans="1:10" x14ac:dyDescent="0.35">
      <c r="A963" t="s">
        <v>1347</v>
      </c>
      <c r="B963" t="s">
        <v>344</v>
      </c>
      <c r="C963" t="s">
        <v>374</v>
      </c>
      <c r="D963">
        <v>7</v>
      </c>
      <c r="E963" t="s">
        <v>375</v>
      </c>
      <c r="F963">
        <v>2023</v>
      </c>
      <c r="G963">
        <v>157.36000000000001</v>
      </c>
      <c r="H963">
        <v>0.63070000000000004</v>
      </c>
      <c r="I963">
        <v>9924.6952000000019</v>
      </c>
      <c r="J963" t="s">
        <v>372</v>
      </c>
    </row>
    <row r="964" spans="1:10" x14ac:dyDescent="0.35">
      <c r="A964" t="s">
        <v>1348</v>
      </c>
      <c r="B964" t="s">
        <v>292</v>
      </c>
      <c r="C964" t="s">
        <v>374</v>
      </c>
      <c r="D964">
        <v>11</v>
      </c>
      <c r="E964" t="s">
        <v>371</v>
      </c>
      <c r="F964">
        <v>2022</v>
      </c>
      <c r="G964">
        <v>78.78</v>
      </c>
      <c r="H964">
        <v>0.21940000000000001</v>
      </c>
      <c r="I964">
        <v>1728.4332000000002</v>
      </c>
      <c r="J964" t="s">
        <v>372</v>
      </c>
    </row>
    <row r="965" spans="1:10" x14ac:dyDescent="0.35">
      <c r="A965" t="s">
        <v>1349</v>
      </c>
      <c r="B965" t="s">
        <v>287</v>
      </c>
      <c r="C965" t="s">
        <v>384</v>
      </c>
      <c r="D965">
        <v>12</v>
      </c>
      <c r="E965" t="s">
        <v>487</v>
      </c>
      <c r="F965">
        <v>2022</v>
      </c>
      <c r="G965">
        <v>21.72</v>
      </c>
      <c r="H965">
        <v>0.50619999999999998</v>
      </c>
      <c r="I965">
        <v>1099.4663999999998</v>
      </c>
      <c r="J965" t="s">
        <v>372</v>
      </c>
    </row>
    <row r="966" spans="1:10" x14ac:dyDescent="0.35">
      <c r="A966" t="s">
        <v>1350</v>
      </c>
      <c r="B966" t="s">
        <v>297</v>
      </c>
      <c r="C966" t="s">
        <v>370</v>
      </c>
      <c r="D966">
        <v>8</v>
      </c>
      <c r="E966" t="s">
        <v>377</v>
      </c>
      <c r="F966">
        <v>2023</v>
      </c>
      <c r="G966">
        <v>470.67</v>
      </c>
      <c r="H966">
        <v>0.13</v>
      </c>
      <c r="I966">
        <v>6118.71</v>
      </c>
      <c r="J966" t="s">
        <v>372</v>
      </c>
    </row>
    <row r="967" spans="1:10" x14ac:dyDescent="0.35">
      <c r="A967" t="s">
        <v>1351</v>
      </c>
      <c r="B967" t="s">
        <v>354</v>
      </c>
      <c r="C967" t="s">
        <v>374</v>
      </c>
      <c r="D967">
        <v>4</v>
      </c>
      <c r="E967" t="s">
        <v>394</v>
      </c>
      <c r="F967">
        <v>2023</v>
      </c>
      <c r="G967">
        <v>287.77999999999997</v>
      </c>
      <c r="H967">
        <v>0.8458</v>
      </c>
      <c r="I967">
        <v>24340.432399999998</v>
      </c>
      <c r="J967" t="s">
        <v>372</v>
      </c>
    </row>
    <row r="968" spans="1:10" x14ac:dyDescent="0.35">
      <c r="A968" t="s">
        <v>1352</v>
      </c>
      <c r="B968" t="s">
        <v>12</v>
      </c>
      <c r="C968" t="s">
        <v>384</v>
      </c>
      <c r="D968">
        <v>9</v>
      </c>
      <c r="E968" t="s">
        <v>403</v>
      </c>
      <c r="F968">
        <v>2023</v>
      </c>
      <c r="G968">
        <v>489.46</v>
      </c>
      <c r="H968">
        <v>0.44729999999999998</v>
      </c>
      <c r="I968">
        <v>21893.5458</v>
      </c>
      <c r="J968" t="s">
        <v>372</v>
      </c>
    </row>
    <row r="969" spans="1:10" x14ac:dyDescent="0.35">
      <c r="A969" t="s">
        <v>1353</v>
      </c>
      <c r="B969" t="s">
        <v>327</v>
      </c>
      <c r="C969" t="s">
        <v>384</v>
      </c>
      <c r="D969">
        <v>12</v>
      </c>
      <c r="E969" t="s">
        <v>487</v>
      </c>
      <c r="F969">
        <v>2023</v>
      </c>
      <c r="G969">
        <v>313.89999999999998</v>
      </c>
      <c r="H969">
        <v>0.34050000000000002</v>
      </c>
      <c r="I969">
        <v>10688.295</v>
      </c>
      <c r="J969" t="s">
        <v>372</v>
      </c>
    </row>
    <row r="970" spans="1:10" x14ac:dyDescent="0.35">
      <c r="A970" t="s">
        <v>1354</v>
      </c>
      <c r="B970" t="s">
        <v>212</v>
      </c>
      <c r="C970" t="s">
        <v>374</v>
      </c>
      <c r="D970">
        <v>6</v>
      </c>
      <c r="E970" t="s">
        <v>379</v>
      </c>
      <c r="F970">
        <v>2024</v>
      </c>
      <c r="G970">
        <v>144.49</v>
      </c>
      <c r="H970">
        <v>0.62919999999999998</v>
      </c>
      <c r="I970">
        <v>9091.3108000000011</v>
      </c>
      <c r="J970" t="s">
        <v>372</v>
      </c>
    </row>
    <row r="971" spans="1:10" x14ac:dyDescent="0.35">
      <c r="A971" t="s">
        <v>1355</v>
      </c>
      <c r="B971" t="s">
        <v>138</v>
      </c>
      <c r="C971" t="s">
        <v>370</v>
      </c>
      <c r="D971">
        <v>10</v>
      </c>
      <c r="E971" t="s">
        <v>387</v>
      </c>
      <c r="F971">
        <v>2022</v>
      </c>
      <c r="G971">
        <v>275.69</v>
      </c>
      <c r="H971">
        <v>0.25509999999999999</v>
      </c>
      <c r="I971">
        <v>7032.8518999999997</v>
      </c>
      <c r="J971" t="s">
        <v>372</v>
      </c>
    </row>
    <row r="972" spans="1:10" x14ac:dyDescent="0.35">
      <c r="A972" t="s">
        <v>1356</v>
      </c>
      <c r="B972" t="s">
        <v>141</v>
      </c>
      <c r="C972" t="s">
        <v>384</v>
      </c>
      <c r="D972">
        <v>9</v>
      </c>
      <c r="E972" t="s">
        <v>403</v>
      </c>
      <c r="F972">
        <v>2023</v>
      </c>
      <c r="G972">
        <v>409.47</v>
      </c>
      <c r="H972">
        <v>0.1777</v>
      </c>
      <c r="I972">
        <v>7276.2819000000009</v>
      </c>
      <c r="J972" t="s">
        <v>372</v>
      </c>
    </row>
    <row r="973" spans="1:10" x14ac:dyDescent="0.35">
      <c r="A973" t="s">
        <v>1357</v>
      </c>
      <c r="B973" t="s">
        <v>185</v>
      </c>
      <c r="C973" t="s">
        <v>374</v>
      </c>
      <c r="D973">
        <v>4</v>
      </c>
      <c r="E973" t="s">
        <v>394</v>
      </c>
      <c r="F973">
        <v>2022</v>
      </c>
      <c r="G973">
        <v>428.18</v>
      </c>
      <c r="H973">
        <v>0.78010000000000002</v>
      </c>
      <c r="I973">
        <v>33402.321799999998</v>
      </c>
      <c r="J973" t="s">
        <v>372</v>
      </c>
    </row>
    <row r="974" spans="1:10" x14ac:dyDescent="0.35">
      <c r="A974" t="s">
        <v>1358</v>
      </c>
      <c r="B974" t="s">
        <v>351</v>
      </c>
      <c r="C974" t="s">
        <v>384</v>
      </c>
      <c r="D974">
        <v>6</v>
      </c>
      <c r="E974" t="s">
        <v>379</v>
      </c>
      <c r="F974">
        <v>2022</v>
      </c>
      <c r="G974">
        <v>47.66</v>
      </c>
      <c r="H974">
        <v>0.10780000000000001</v>
      </c>
      <c r="I974">
        <v>513.77480000000003</v>
      </c>
      <c r="J974" t="s">
        <v>372</v>
      </c>
    </row>
    <row r="975" spans="1:10" x14ac:dyDescent="0.35">
      <c r="A975" t="s">
        <v>1359</v>
      </c>
      <c r="B975" t="s">
        <v>103</v>
      </c>
      <c r="C975" t="s">
        <v>370</v>
      </c>
      <c r="D975">
        <v>11</v>
      </c>
      <c r="E975" t="s">
        <v>371</v>
      </c>
      <c r="F975">
        <v>2022</v>
      </c>
      <c r="G975">
        <v>441.96</v>
      </c>
      <c r="H975">
        <v>0.12989999999999999</v>
      </c>
      <c r="I975">
        <v>5741.0603999999994</v>
      </c>
      <c r="J975" t="s">
        <v>372</v>
      </c>
    </row>
    <row r="976" spans="1:10" x14ac:dyDescent="0.35">
      <c r="A976" t="s">
        <v>1360</v>
      </c>
      <c r="B976" t="s">
        <v>273</v>
      </c>
      <c r="C976" t="s">
        <v>374</v>
      </c>
      <c r="D976">
        <v>5</v>
      </c>
      <c r="E976" t="s">
        <v>417</v>
      </c>
      <c r="F976">
        <v>2024</v>
      </c>
      <c r="G976">
        <v>389.88</v>
      </c>
      <c r="H976">
        <v>0.17499999999999999</v>
      </c>
      <c r="I976">
        <v>6822.9</v>
      </c>
      <c r="J976" t="s">
        <v>372</v>
      </c>
    </row>
    <row r="977" spans="1:10" x14ac:dyDescent="0.35">
      <c r="A977" t="s">
        <v>1361</v>
      </c>
      <c r="B977" t="s">
        <v>310</v>
      </c>
      <c r="C977" t="s">
        <v>370</v>
      </c>
      <c r="D977">
        <v>7</v>
      </c>
      <c r="E977" t="s">
        <v>375</v>
      </c>
      <c r="F977">
        <v>2022</v>
      </c>
      <c r="G977">
        <v>118.67</v>
      </c>
      <c r="H977">
        <v>0.41959999999999997</v>
      </c>
      <c r="I977">
        <v>4979.3931999999995</v>
      </c>
      <c r="J977" t="s">
        <v>372</v>
      </c>
    </row>
    <row r="978" spans="1:10" x14ac:dyDescent="0.35">
      <c r="A978" t="s">
        <v>1362</v>
      </c>
      <c r="B978" t="s">
        <v>60</v>
      </c>
      <c r="C978" t="s">
        <v>374</v>
      </c>
      <c r="D978">
        <v>12</v>
      </c>
      <c r="E978" t="s">
        <v>487</v>
      </c>
      <c r="F978">
        <v>2024</v>
      </c>
      <c r="G978">
        <v>60.33</v>
      </c>
      <c r="H978">
        <v>0.47749999999999998</v>
      </c>
      <c r="I978">
        <v>2880.7574999999997</v>
      </c>
      <c r="J978" t="s">
        <v>372</v>
      </c>
    </row>
    <row r="979" spans="1:10" x14ac:dyDescent="0.35">
      <c r="A979" t="s">
        <v>1363</v>
      </c>
      <c r="B979" t="s">
        <v>28</v>
      </c>
      <c r="C979" t="s">
        <v>374</v>
      </c>
      <c r="D979">
        <v>7</v>
      </c>
      <c r="E979" t="s">
        <v>375</v>
      </c>
      <c r="F979">
        <v>2024</v>
      </c>
      <c r="G979">
        <v>324.75</v>
      </c>
      <c r="H979">
        <v>0.4375</v>
      </c>
      <c r="I979">
        <v>14207.8125</v>
      </c>
      <c r="J979" t="s">
        <v>372</v>
      </c>
    </row>
    <row r="980" spans="1:10" x14ac:dyDescent="0.35">
      <c r="A980" t="s">
        <v>1364</v>
      </c>
      <c r="B980" t="s">
        <v>72</v>
      </c>
      <c r="C980" t="s">
        <v>384</v>
      </c>
      <c r="D980">
        <v>11</v>
      </c>
      <c r="E980" t="s">
        <v>371</v>
      </c>
      <c r="F980">
        <v>2023</v>
      </c>
      <c r="G980">
        <v>273.83</v>
      </c>
      <c r="H980">
        <v>0.83450000000000002</v>
      </c>
      <c r="I980">
        <v>22851.113499999999</v>
      </c>
      <c r="J980" t="s">
        <v>372</v>
      </c>
    </row>
    <row r="981" spans="1:10" x14ac:dyDescent="0.35">
      <c r="A981" t="s">
        <v>1365</v>
      </c>
      <c r="B981" t="s">
        <v>327</v>
      </c>
      <c r="C981" t="s">
        <v>374</v>
      </c>
      <c r="D981">
        <v>8</v>
      </c>
      <c r="E981" t="s">
        <v>377</v>
      </c>
      <c r="F981">
        <v>2024</v>
      </c>
      <c r="G981">
        <v>62.59</v>
      </c>
      <c r="H981">
        <v>0.72609999999999997</v>
      </c>
      <c r="I981">
        <v>4544.6598999999997</v>
      </c>
      <c r="J981" t="s">
        <v>372</v>
      </c>
    </row>
    <row r="982" spans="1:10" x14ac:dyDescent="0.35">
      <c r="A982" t="s">
        <v>1366</v>
      </c>
      <c r="B982" t="s">
        <v>152</v>
      </c>
      <c r="C982" t="s">
        <v>384</v>
      </c>
      <c r="D982">
        <v>5</v>
      </c>
      <c r="E982" t="s">
        <v>417</v>
      </c>
      <c r="F982">
        <v>2024</v>
      </c>
      <c r="G982">
        <v>305.12</v>
      </c>
      <c r="H982">
        <v>0.1694</v>
      </c>
      <c r="I982">
        <v>5168.7327999999998</v>
      </c>
      <c r="J982" t="s">
        <v>372</v>
      </c>
    </row>
    <row r="983" spans="1:10" x14ac:dyDescent="0.35">
      <c r="A983" t="s">
        <v>1367</v>
      </c>
      <c r="B983" t="s">
        <v>268</v>
      </c>
      <c r="C983" t="s">
        <v>370</v>
      </c>
      <c r="D983">
        <v>11</v>
      </c>
      <c r="E983" t="s">
        <v>371</v>
      </c>
      <c r="F983">
        <v>2023</v>
      </c>
      <c r="G983">
        <v>482.32</v>
      </c>
      <c r="H983">
        <v>0.34089999999999998</v>
      </c>
      <c r="I983">
        <v>16442.288799999998</v>
      </c>
      <c r="J983" t="s">
        <v>372</v>
      </c>
    </row>
    <row r="984" spans="1:10" x14ac:dyDescent="0.35">
      <c r="A984" t="s">
        <v>1368</v>
      </c>
      <c r="B984" t="s">
        <v>84</v>
      </c>
      <c r="C984" t="s">
        <v>384</v>
      </c>
      <c r="D984">
        <v>8</v>
      </c>
      <c r="E984" t="s">
        <v>377</v>
      </c>
      <c r="F984">
        <v>2022</v>
      </c>
      <c r="G984">
        <v>486.83</v>
      </c>
      <c r="H984">
        <v>0.36840000000000001</v>
      </c>
      <c r="I984">
        <v>17934.817200000001</v>
      </c>
      <c r="J984" t="s">
        <v>372</v>
      </c>
    </row>
    <row r="985" spans="1:10" x14ac:dyDescent="0.35">
      <c r="A985" t="s">
        <v>1369</v>
      </c>
      <c r="B985" t="s">
        <v>23</v>
      </c>
      <c r="C985" t="s">
        <v>384</v>
      </c>
      <c r="D985">
        <v>4</v>
      </c>
      <c r="E985" t="s">
        <v>394</v>
      </c>
      <c r="F985">
        <v>2023</v>
      </c>
      <c r="G985">
        <v>17.22</v>
      </c>
      <c r="H985">
        <v>0.22140000000000001</v>
      </c>
      <c r="I985">
        <v>381.25079999999997</v>
      </c>
      <c r="J985" t="s">
        <v>372</v>
      </c>
    </row>
    <row r="986" spans="1:10" x14ac:dyDescent="0.35">
      <c r="A986" t="s">
        <v>1370</v>
      </c>
      <c r="B986" t="s">
        <v>21</v>
      </c>
      <c r="C986" t="s">
        <v>370</v>
      </c>
      <c r="D986">
        <v>6</v>
      </c>
      <c r="E986" t="s">
        <v>379</v>
      </c>
      <c r="F986">
        <v>2022</v>
      </c>
      <c r="G986">
        <v>355.93</v>
      </c>
      <c r="H986">
        <v>0.3231</v>
      </c>
      <c r="I986">
        <v>11500.0983</v>
      </c>
      <c r="J986" t="s">
        <v>372</v>
      </c>
    </row>
    <row r="987" spans="1:10" x14ac:dyDescent="0.35">
      <c r="A987" t="s">
        <v>1371</v>
      </c>
      <c r="B987" t="s">
        <v>194</v>
      </c>
      <c r="C987" t="s">
        <v>370</v>
      </c>
      <c r="D987">
        <v>8</v>
      </c>
      <c r="E987" t="s">
        <v>377</v>
      </c>
      <c r="F987">
        <v>2023</v>
      </c>
      <c r="G987">
        <v>316.27</v>
      </c>
      <c r="H987">
        <v>0.5454</v>
      </c>
      <c r="I987">
        <v>17249.3658</v>
      </c>
      <c r="J987" t="s">
        <v>372</v>
      </c>
    </row>
    <row r="988" spans="1:10" x14ac:dyDescent="0.35">
      <c r="A988" t="s">
        <v>1372</v>
      </c>
      <c r="B988" t="s">
        <v>231</v>
      </c>
      <c r="C988" t="s">
        <v>370</v>
      </c>
      <c r="D988">
        <v>11</v>
      </c>
      <c r="E988" t="s">
        <v>371</v>
      </c>
      <c r="F988">
        <v>2024</v>
      </c>
      <c r="G988">
        <v>195.32</v>
      </c>
      <c r="H988">
        <v>0.19919999999999999</v>
      </c>
      <c r="I988">
        <v>3890.7743999999993</v>
      </c>
      <c r="J988" t="s">
        <v>372</v>
      </c>
    </row>
    <row r="989" spans="1:10" x14ac:dyDescent="0.35">
      <c r="A989" t="s">
        <v>1373</v>
      </c>
      <c r="B989" t="s">
        <v>84</v>
      </c>
      <c r="C989" t="s">
        <v>384</v>
      </c>
      <c r="D989">
        <v>1</v>
      </c>
      <c r="E989" t="s">
        <v>381</v>
      </c>
      <c r="F989">
        <v>2023</v>
      </c>
      <c r="G989">
        <v>36.97</v>
      </c>
      <c r="H989">
        <v>0.58099999999999996</v>
      </c>
      <c r="I989">
        <v>2147.9569999999999</v>
      </c>
      <c r="J989" t="s">
        <v>372</v>
      </c>
    </row>
    <row r="990" spans="1:10" x14ac:dyDescent="0.35">
      <c r="A990" t="s">
        <v>1374</v>
      </c>
      <c r="B990" t="s">
        <v>308</v>
      </c>
      <c r="C990" t="s">
        <v>374</v>
      </c>
      <c r="D990">
        <v>11</v>
      </c>
      <c r="E990" t="s">
        <v>371</v>
      </c>
      <c r="F990">
        <v>2022</v>
      </c>
      <c r="G990">
        <v>53.91</v>
      </c>
      <c r="H990">
        <v>0.44779999999999998</v>
      </c>
      <c r="I990">
        <v>2414.0897999999997</v>
      </c>
      <c r="J990" t="s">
        <v>372</v>
      </c>
    </row>
    <row r="991" spans="1:10" x14ac:dyDescent="0.35">
      <c r="A991" t="s">
        <v>1375</v>
      </c>
      <c r="B991" t="s">
        <v>289</v>
      </c>
      <c r="C991" t="s">
        <v>374</v>
      </c>
      <c r="D991">
        <v>6</v>
      </c>
      <c r="E991" t="s">
        <v>379</v>
      </c>
      <c r="F991">
        <v>2024</v>
      </c>
      <c r="G991">
        <v>354.99</v>
      </c>
      <c r="H991">
        <v>0.317</v>
      </c>
      <c r="I991">
        <v>11253.182999999999</v>
      </c>
      <c r="J991" t="s">
        <v>372</v>
      </c>
    </row>
    <row r="992" spans="1:10" x14ac:dyDescent="0.35">
      <c r="A992" t="s">
        <v>1376</v>
      </c>
      <c r="B992" t="s">
        <v>299</v>
      </c>
      <c r="C992" t="s">
        <v>370</v>
      </c>
      <c r="D992">
        <v>2</v>
      </c>
      <c r="E992" t="s">
        <v>389</v>
      </c>
      <c r="F992">
        <v>2024</v>
      </c>
      <c r="G992">
        <v>354.85</v>
      </c>
      <c r="H992">
        <v>0.39750000000000002</v>
      </c>
      <c r="I992">
        <v>14105.287500000002</v>
      </c>
      <c r="J992" t="s">
        <v>372</v>
      </c>
    </row>
    <row r="993" spans="1:10" x14ac:dyDescent="0.35">
      <c r="A993" t="s">
        <v>1377</v>
      </c>
      <c r="B993" t="s">
        <v>317</v>
      </c>
      <c r="C993" t="s">
        <v>384</v>
      </c>
      <c r="D993">
        <v>1</v>
      </c>
      <c r="E993" t="s">
        <v>381</v>
      </c>
      <c r="F993">
        <v>2023</v>
      </c>
      <c r="G993">
        <v>41.16</v>
      </c>
      <c r="H993">
        <v>0.81630000000000003</v>
      </c>
      <c r="I993">
        <v>3359.8908000000001</v>
      </c>
      <c r="J993" t="s">
        <v>372</v>
      </c>
    </row>
    <row r="994" spans="1:10" x14ac:dyDescent="0.35">
      <c r="A994" t="s">
        <v>1378</v>
      </c>
      <c r="B994" t="s">
        <v>152</v>
      </c>
      <c r="C994" t="s">
        <v>370</v>
      </c>
      <c r="D994">
        <v>12</v>
      </c>
      <c r="E994" t="s">
        <v>487</v>
      </c>
      <c r="F994">
        <v>2022</v>
      </c>
      <c r="G994">
        <v>433.23</v>
      </c>
      <c r="H994">
        <v>0.14230000000000001</v>
      </c>
      <c r="I994">
        <v>6164.862900000001</v>
      </c>
      <c r="J994" t="s">
        <v>372</v>
      </c>
    </row>
    <row r="995" spans="1:10" x14ac:dyDescent="0.35">
      <c r="A995" t="s">
        <v>1379</v>
      </c>
      <c r="B995" t="s">
        <v>49</v>
      </c>
      <c r="C995" t="s">
        <v>384</v>
      </c>
      <c r="D995">
        <v>5</v>
      </c>
      <c r="E995" t="s">
        <v>417</v>
      </c>
      <c r="F995">
        <v>2022</v>
      </c>
      <c r="G995">
        <v>93.16</v>
      </c>
      <c r="H995">
        <v>0.32169999999999999</v>
      </c>
      <c r="I995">
        <v>2996.9571999999994</v>
      </c>
      <c r="J995" t="s">
        <v>372</v>
      </c>
    </row>
    <row r="996" spans="1:10" x14ac:dyDescent="0.35">
      <c r="A996" t="s">
        <v>1380</v>
      </c>
      <c r="B996" t="s">
        <v>191</v>
      </c>
      <c r="C996" t="s">
        <v>384</v>
      </c>
      <c r="D996">
        <v>7</v>
      </c>
      <c r="E996" t="s">
        <v>375</v>
      </c>
      <c r="F996">
        <v>2023</v>
      </c>
      <c r="G996">
        <v>34.159999999999997</v>
      </c>
      <c r="H996">
        <v>0.39939999999999998</v>
      </c>
      <c r="I996">
        <v>1364.3503999999998</v>
      </c>
      <c r="J996" t="s">
        <v>372</v>
      </c>
    </row>
    <row r="997" spans="1:10" x14ac:dyDescent="0.35">
      <c r="A997" t="s">
        <v>1381</v>
      </c>
      <c r="B997" t="s">
        <v>328</v>
      </c>
      <c r="C997" t="s">
        <v>384</v>
      </c>
      <c r="D997">
        <v>9</v>
      </c>
      <c r="E997" t="s">
        <v>403</v>
      </c>
      <c r="F997">
        <v>2022</v>
      </c>
      <c r="G997">
        <v>306.10000000000002</v>
      </c>
      <c r="H997">
        <v>0.17810000000000001</v>
      </c>
      <c r="I997">
        <v>5451.6410000000005</v>
      </c>
      <c r="J997" t="s">
        <v>372</v>
      </c>
    </row>
    <row r="998" spans="1:10" x14ac:dyDescent="0.35">
      <c r="A998" t="s">
        <v>1382</v>
      </c>
      <c r="B998" t="s">
        <v>190</v>
      </c>
      <c r="C998" t="s">
        <v>384</v>
      </c>
      <c r="D998">
        <v>2</v>
      </c>
      <c r="E998" t="s">
        <v>389</v>
      </c>
      <c r="F998">
        <v>2024</v>
      </c>
      <c r="G998">
        <v>375.32</v>
      </c>
      <c r="H998">
        <v>0.1169</v>
      </c>
      <c r="I998">
        <v>4387.4907999999996</v>
      </c>
      <c r="J998" t="s">
        <v>372</v>
      </c>
    </row>
    <row r="999" spans="1:10" x14ac:dyDescent="0.35">
      <c r="A999" t="s">
        <v>1383</v>
      </c>
      <c r="B999" t="s">
        <v>131</v>
      </c>
      <c r="C999" t="s">
        <v>384</v>
      </c>
      <c r="D999">
        <v>10</v>
      </c>
      <c r="E999" t="s">
        <v>387</v>
      </c>
      <c r="F999">
        <v>2024</v>
      </c>
      <c r="G999">
        <v>281.99</v>
      </c>
      <c r="H999">
        <v>0.71650000000000003</v>
      </c>
      <c r="I999">
        <v>20204.583500000001</v>
      </c>
      <c r="J999" t="s">
        <v>372</v>
      </c>
    </row>
    <row r="1000" spans="1:10" x14ac:dyDescent="0.35">
      <c r="A1000" t="s">
        <v>1384</v>
      </c>
      <c r="B1000" t="s">
        <v>181</v>
      </c>
      <c r="C1000" t="s">
        <v>374</v>
      </c>
      <c r="D1000">
        <v>7</v>
      </c>
      <c r="E1000" t="s">
        <v>375</v>
      </c>
      <c r="F1000">
        <v>2023</v>
      </c>
      <c r="G1000">
        <v>75.17</v>
      </c>
      <c r="H1000">
        <v>0.74519999999999997</v>
      </c>
      <c r="I1000">
        <v>5601.6683999999996</v>
      </c>
      <c r="J1000" t="s">
        <v>372</v>
      </c>
    </row>
    <row r="1001" spans="1:10" x14ac:dyDescent="0.35">
      <c r="A1001" t="s">
        <v>1385</v>
      </c>
      <c r="B1001" t="s">
        <v>188</v>
      </c>
      <c r="C1001" t="s">
        <v>384</v>
      </c>
      <c r="D1001">
        <v>6</v>
      </c>
      <c r="E1001" t="s">
        <v>379</v>
      </c>
      <c r="F1001">
        <v>2024</v>
      </c>
      <c r="G1001">
        <v>234.32</v>
      </c>
      <c r="H1001">
        <v>0.42920000000000003</v>
      </c>
      <c r="I1001">
        <v>10057.0144</v>
      </c>
      <c r="J1001" t="s">
        <v>372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9C75-7A93-4C43-B313-1AFC2C336FD4}">
  <dimension ref="A1:H1001"/>
  <sheetViews>
    <sheetView workbookViewId="0">
      <selection activeCell="H7" sqref="H7"/>
    </sheetView>
  </sheetViews>
  <sheetFormatPr defaultRowHeight="14.5" x14ac:dyDescent="0.35"/>
  <cols>
    <col min="1" max="1" width="13.08984375" bestFit="1" customWidth="1"/>
    <col min="3" max="3" width="16.81640625" bestFit="1" customWidth="1"/>
    <col min="4" max="4" width="14.36328125" bestFit="1" customWidth="1"/>
    <col min="5" max="5" width="11.08984375" bestFit="1" customWidth="1"/>
    <col min="6" max="6" width="15.453125" bestFit="1" customWidth="1"/>
    <col min="7" max="7" width="13.7265625" bestFit="1" customWidth="1"/>
    <col min="8" max="8" width="21.08984375" bestFit="1" customWidth="1"/>
  </cols>
  <sheetData>
    <row r="1" spans="1:8" x14ac:dyDescent="0.35">
      <c r="A1" s="1" t="s">
        <v>1386</v>
      </c>
      <c r="B1" s="1" t="s">
        <v>360</v>
      </c>
      <c r="C1" s="1" t="s">
        <v>1387</v>
      </c>
      <c r="D1" s="1" t="s">
        <v>1388</v>
      </c>
      <c r="E1" s="2" t="s">
        <v>1389</v>
      </c>
      <c r="F1" s="2" t="s">
        <v>1390</v>
      </c>
      <c r="G1" s="1" t="s">
        <v>1391</v>
      </c>
      <c r="H1" s="1" t="s">
        <v>1392</v>
      </c>
    </row>
    <row r="2" spans="1:8" x14ac:dyDescent="0.35">
      <c r="A2" s="1" t="s">
        <v>1393</v>
      </c>
      <c r="B2" s="1" t="s">
        <v>850</v>
      </c>
      <c r="C2" s="1" t="s">
        <v>1394</v>
      </c>
      <c r="D2" s="1"/>
      <c r="E2" s="2">
        <v>44985</v>
      </c>
      <c r="F2" s="2"/>
      <c r="G2" s="1"/>
      <c r="H2" s="1" t="s">
        <v>1395</v>
      </c>
    </row>
    <row r="3" spans="1:8" x14ac:dyDescent="0.35">
      <c r="A3" s="1" t="s">
        <v>1396</v>
      </c>
      <c r="B3" s="1" t="s">
        <v>726</v>
      </c>
      <c r="C3" s="1" t="s">
        <v>1394</v>
      </c>
      <c r="D3" s="1"/>
      <c r="E3" s="2">
        <v>44801</v>
      </c>
      <c r="F3" s="2"/>
      <c r="G3" s="1"/>
      <c r="H3" s="1" t="s">
        <v>1395</v>
      </c>
    </row>
    <row r="4" spans="1:8" x14ac:dyDescent="0.35">
      <c r="A4" s="1" t="s">
        <v>1397</v>
      </c>
      <c r="B4" s="1" t="s">
        <v>1048</v>
      </c>
      <c r="C4" s="1" t="s">
        <v>1398</v>
      </c>
      <c r="D4" s="1">
        <v>13361.09</v>
      </c>
      <c r="E4" s="2">
        <v>45471</v>
      </c>
      <c r="F4" s="2">
        <v>45542</v>
      </c>
      <c r="G4" s="1">
        <v>71</v>
      </c>
      <c r="H4" s="1" t="s">
        <v>1399</v>
      </c>
    </row>
    <row r="5" spans="1:8" x14ac:dyDescent="0.35">
      <c r="A5" s="1" t="s">
        <v>1400</v>
      </c>
      <c r="B5" s="1" t="s">
        <v>985</v>
      </c>
      <c r="C5" s="1" t="s">
        <v>1401</v>
      </c>
      <c r="D5" s="1">
        <v>39589.050000000003</v>
      </c>
      <c r="E5" s="2">
        <v>45532</v>
      </c>
      <c r="F5" s="2">
        <v>45546</v>
      </c>
      <c r="G5" s="1">
        <v>14</v>
      </c>
      <c r="H5" s="1" t="s">
        <v>1399</v>
      </c>
    </row>
    <row r="6" spans="1:8" x14ac:dyDescent="0.35">
      <c r="A6" s="1" t="s">
        <v>1402</v>
      </c>
      <c r="B6" s="1" t="s">
        <v>1091</v>
      </c>
      <c r="C6" s="1" t="s">
        <v>1401</v>
      </c>
      <c r="D6" s="1">
        <v>2082.88</v>
      </c>
      <c r="E6" s="2">
        <v>45624</v>
      </c>
      <c r="F6" s="2">
        <v>45637</v>
      </c>
      <c r="G6" s="1">
        <v>13</v>
      </c>
      <c r="H6" s="1" t="s">
        <v>1399</v>
      </c>
    </row>
    <row r="7" spans="1:8" x14ac:dyDescent="0.35">
      <c r="A7" s="1" t="s">
        <v>1403</v>
      </c>
      <c r="B7" s="1" t="s">
        <v>1191</v>
      </c>
      <c r="C7" s="1" t="s">
        <v>1401</v>
      </c>
      <c r="D7" s="1">
        <v>734</v>
      </c>
      <c r="E7" s="2">
        <v>44801</v>
      </c>
      <c r="F7" s="2">
        <v>44812</v>
      </c>
      <c r="G7" s="1">
        <v>11</v>
      </c>
      <c r="H7" s="1" t="s">
        <v>1399</v>
      </c>
    </row>
    <row r="8" spans="1:8" x14ac:dyDescent="0.35">
      <c r="A8" s="1" t="s">
        <v>1404</v>
      </c>
      <c r="B8" s="1" t="s">
        <v>1272</v>
      </c>
      <c r="C8" s="1" t="s">
        <v>1401</v>
      </c>
      <c r="D8" s="1">
        <v>9689.64</v>
      </c>
      <c r="E8" s="2">
        <v>45350</v>
      </c>
      <c r="F8" s="2">
        <v>45361</v>
      </c>
      <c r="G8" s="1">
        <v>11</v>
      </c>
      <c r="H8" s="1" t="s">
        <v>1399</v>
      </c>
    </row>
    <row r="9" spans="1:8" x14ac:dyDescent="0.35">
      <c r="A9" s="1" t="s">
        <v>1405</v>
      </c>
      <c r="B9" s="1" t="s">
        <v>836</v>
      </c>
      <c r="C9" s="1" t="s">
        <v>1401</v>
      </c>
      <c r="D9" s="1">
        <v>1417.2</v>
      </c>
      <c r="E9" s="2">
        <v>44740</v>
      </c>
      <c r="F9" s="2">
        <v>44755</v>
      </c>
      <c r="G9" s="1">
        <v>15</v>
      </c>
      <c r="H9" s="1" t="s">
        <v>1399</v>
      </c>
    </row>
    <row r="10" spans="1:8" x14ac:dyDescent="0.35">
      <c r="A10" s="1" t="s">
        <v>1406</v>
      </c>
      <c r="B10" s="1" t="s">
        <v>539</v>
      </c>
      <c r="C10" s="1" t="s">
        <v>1398</v>
      </c>
      <c r="D10" s="1">
        <v>8893.7800000000007</v>
      </c>
      <c r="E10" s="2">
        <v>45501</v>
      </c>
      <c r="F10" s="2">
        <v>45503</v>
      </c>
      <c r="G10" s="1">
        <v>2</v>
      </c>
      <c r="H10" s="1" t="s">
        <v>1399</v>
      </c>
    </row>
    <row r="11" spans="1:8" x14ac:dyDescent="0.35">
      <c r="A11" s="1" t="s">
        <v>1407</v>
      </c>
      <c r="B11" s="1" t="s">
        <v>528</v>
      </c>
      <c r="C11" s="1" t="s">
        <v>1394</v>
      </c>
      <c r="D11" s="1"/>
      <c r="E11" s="2">
        <v>44709</v>
      </c>
      <c r="F11" s="2"/>
      <c r="G11" s="1"/>
      <c r="H11" s="1" t="s">
        <v>1395</v>
      </c>
    </row>
    <row r="12" spans="1:8" x14ac:dyDescent="0.35">
      <c r="A12" s="1" t="s">
        <v>1408</v>
      </c>
      <c r="B12" s="1" t="s">
        <v>627</v>
      </c>
      <c r="C12" s="1" t="s">
        <v>1394</v>
      </c>
      <c r="D12" s="1"/>
      <c r="E12" s="2">
        <v>44954</v>
      </c>
      <c r="F12" s="2"/>
      <c r="G12" s="1"/>
      <c r="H12" s="1" t="s">
        <v>1395</v>
      </c>
    </row>
    <row r="13" spans="1:8" x14ac:dyDescent="0.35">
      <c r="A13" s="1" t="s">
        <v>1409</v>
      </c>
      <c r="B13" s="1" t="s">
        <v>932</v>
      </c>
      <c r="C13" s="1" t="s">
        <v>1401</v>
      </c>
      <c r="D13" s="1">
        <v>15774.95</v>
      </c>
      <c r="E13" s="2">
        <v>44648</v>
      </c>
      <c r="F13" s="2">
        <v>44685</v>
      </c>
      <c r="G13" s="1">
        <v>37</v>
      </c>
      <c r="H13" s="1" t="s">
        <v>1399</v>
      </c>
    </row>
    <row r="14" spans="1:8" x14ac:dyDescent="0.35">
      <c r="A14" s="1" t="s">
        <v>1410</v>
      </c>
      <c r="B14" s="1" t="s">
        <v>598</v>
      </c>
      <c r="C14" s="1" t="s">
        <v>1398</v>
      </c>
      <c r="D14" s="1">
        <v>8217.67</v>
      </c>
      <c r="E14" s="2">
        <v>44893</v>
      </c>
      <c r="F14" s="2">
        <v>44906</v>
      </c>
      <c r="G14" s="1">
        <v>13</v>
      </c>
      <c r="H14" s="1" t="s">
        <v>1399</v>
      </c>
    </row>
    <row r="15" spans="1:8" x14ac:dyDescent="0.35">
      <c r="A15" s="1" t="s">
        <v>1411</v>
      </c>
      <c r="B15" s="1" t="s">
        <v>896</v>
      </c>
      <c r="C15" s="1" t="s">
        <v>1401</v>
      </c>
      <c r="D15" s="1">
        <v>2899.88</v>
      </c>
      <c r="E15" s="2">
        <v>44648</v>
      </c>
      <c r="F15" s="2">
        <v>44685</v>
      </c>
      <c r="G15" s="1">
        <v>37</v>
      </c>
      <c r="H15" s="1" t="s">
        <v>1399</v>
      </c>
    </row>
    <row r="16" spans="1:8" x14ac:dyDescent="0.35">
      <c r="A16" s="1" t="s">
        <v>1412</v>
      </c>
      <c r="B16" s="1" t="s">
        <v>1321</v>
      </c>
      <c r="C16" s="1" t="s">
        <v>1398</v>
      </c>
      <c r="D16" s="1">
        <v>11376.36</v>
      </c>
      <c r="E16" s="2">
        <v>45013</v>
      </c>
      <c r="F16" s="2">
        <v>45019</v>
      </c>
      <c r="G16" s="1">
        <v>6</v>
      </c>
      <c r="H16" s="1" t="s">
        <v>1399</v>
      </c>
    </row>
    <row r="17" spans="1:8" x14ac:dyDescent="0.35">
      <c r="A17" s="1" t="s">
        <v>1413</v>
      </c>
      <c r="B17" s="1" t="s">
        <v>1349</v>
      </c>
      <c r="C17" s="1" t="s">
        <v>1394</v>
      </c>
      <c r="D17" s="1"/>
      <c r="E17" s="2">
        <v>45166</v>
      </c>
      <c r="F17" s="2"/>
      <c r="G17" s="1"/>
      <c r="H17" s="1" t="s">
        <v>1395</v>
      </c>
    </row>
    <row r="18" spans="1:8" x14ac:dyDescent="0.35">
      <c r="A18" s="1" t="s">
        <v>1414</v>
      </c>
      <c r="B18" s="1" t="s">
        <v>714</v>
      </c>
      <c r="C18" s="1" t="s">
        <v>1394</v>
      </c>
      <c r="D18" s="1"/>
      <c r="E18" s="2">
        <v>44770</v>
      </c>
      <c r="F18" s="2"/>
      <c r="G18" s="1"/>
      <c r="H18" s="1" t="s">
        <v>1395</v>
      </c>
    </row>
    <row r="19" spans="1:8" x14ac:dyDescent="0.35">
      <c r="A19" s="1" t="s">
        <v>1415</v>
      </c>
      <c r="B19" s="1" t="s">
        <v>496</v>
      </c>
      <c r="C19" s="1" t="s">
        <v>1398</v>
      </c>
      <c r="D19" s="1">
        <v>3576.52</v>
      </c>
      <c r="E19" s="2">
        <v>44709</v>
      </c>
      <c r="F19" s="2"/>
      <c r="G19" s="1"/>
      <c r="H19" s="1" t="s">
        <v>1416</v>
      </c>
    </row>
    <row r="20" spans="1:8" x14ac:dyDescent="0.35">
      <c r="A20" s="1" t="s">
        <v>1417</v>
      </c>
      <c r="B20" s="1" t="s">
        <v>1104</v>
      </c>
      <c r="C20" s="1" t="s">
        <v>1401</v>
      </c>
      <c r="D20" s="1">
        <v>36636.49</v>
      </c>
      <c r="E20" s="2">
        <v>45440</v>
      </c>
      <c r="F20" s="2">
        <v>45451</v>
      </c>
      <c r="G20" s="1">
        <v>11</v>
      </c>
      <c r="H20" s="1" t="s">
        <v>1399</v>
      </c>
    </row>
    <row r="21" spans="1:8" x14ac:dyDescent="0.35">
      <c r="A21" s="1" t="s">
        <v>1418</v>
      </c>
      <c r="B21" s="1" t="s">
        <v>453</v>
      </c>
      <c r="C21" s="1" t="s">
        <v>1394</v>
      </c>
      <c r="D21" s="1"/>
      <c r="E21" s="2">
        <v>44620</v>
      </c>
      <c r="F21" s="2"/>
      <c r="G21" s="1"/>
      <c r="H21" s="1" t="s">
        <v>1395</v>
      </c>
    </row>
    <row r="22" spans="1:8" x14ac:dyDescent="0.35">
      <c r="A22" s="1" t="s">
        <v>1419</v>
      </c>
      <c r="B22" s="1" t="s">
        <v>1269</v>
      </c>
      <c r="C22" s="1" t="s">
        <v>1401</v>
      </c>
      <c r="D22" s="1">
        <v>7742.16</v>
      </c>
      <c r="E22" s="2">
        <v>45593</v>
      </c>
      <c r="F22" s="2">
        <v>45601</v>
      </c>
      <c r="G22" s="1">
        <v>8</v>
      </c>
      <c r="H22" s="1" t="s">
        <v>1399</v>
      </c>
    </row>
    <row r="23" spans="1:8" x14ac:dyDescent="0.35">
      <c r="A23" s="1" t="s">
        <v>1420</v>
      </c>
      <c r="B23" s="1" t="s">
        <v>597</v>
      </c>
      <c r="C23" s="1" t="s">
        <v>1401</v>
      </c>
      <c r="D23" s="1">
        <v>3833.85</v>
      </c>
      <c r="E23" s="2">
        <v>45350</v>
      </c>
      <c r="F23" s="2">
        <v>45360</v>
      </c>
      <c r="G23" s="1">
        <v>10</v>
      </c>
      <c r="H23" s="1" t="s">
        <v>1399</v>
      </c>
    </row>
    <row r="24" spans="1:8" x14ac:dyDescent="0.35">
      <c r="A24" s="1" t="s">
        <v>1421</v>
      </c>
      <c r="B24" s="1" t="s">
        <v>821</v>
      </c>
      <c r="C24" s="1" t="s">
        <v>1394</v>
      </c>
      <c r="D24" s="1"/>
      <c r="E24" s="2">
        <v>45593</v>
      </c>
      <c r="F24" s="2"/>
      <c r="G24" s="1"/>
      <c r="H24" s="1" t="s">
        <v>1395</v>
      </c>
    </row>
    <row r="25" spans="1:8" x14ac:dyDescent="0.35">
      <c r="A25" s="1" t="s">
        <v>1422</v>
      </c>
      <c r="B25" s="1" t="s">
        <v>441</v>
      </c>
      <c r="C25" s="1" t="s">
        <v>1394</v>
      </c>
      <c r="D25" s="1"/>
      <c r="E25" s="2">
        <v>45379</v>
      </c>
      <c r="F25" s="2"/>
      <c r="G25" s="1"/>
      <c r="H25" s="1" t="s">
        <v>1395</v>
      </c>
    </row>
    <row r="26" spans="1:8" x14ac:dyDescent="0.35">
      <c r="A26" t="s">
        <v>1423</v>
      </c>
      <c r="B26" t="s">
        <v>829</v>
      </c>
      <c r="C26" t="s">
        <v>1398</v>
      </c>
      <c r="E26" s="2">
        <v>45166</v>
      </c>
      <c r="F26" s="2"/>
      <c r="H26" t="s">
        <v>1416</v>
      </c>
    </row>
    <row r="27" spans="1:8" x14ac:dyDescent="0.35">
      <c r="A27" t="s">
        <v>1424</v>
      </c>
      <c r="B27" t="s">
        <v>1109</v>
      </c>
      <c r="C27" t="s">
        <v>1398</v>
      </c>
      <c r="D27">
        <v>2144.44</v>
      </c>
      <c r="E27" s="2">
        <v>44954</v>
      </c>
      <c r="F27" s="2">
        <v>45023</v>
      </c>
      <c r="G27">
        <v>69</v>
      </c>
      <c r="H27" t="s">
        <v>1399</v>
      </c>
    </row>
    <row r="28" spans="1:8" x14ac:dyDescent="0.35">
      <c r="A28" t="s">
        <v>1425</v>
      </c>
      <c r="B28" t="s">
        <v>1351</v>
      </c>
      <c r="C28" t="s">
        <v>1398</v>
      </c>
      <c r="D28">
        <v>16344.97</v>
      </c>
      <c r="E28" s="2">
        <v>45654</v>
      </c>
      <c r="F28" s="2"/>
      <c r="H28" t="s">
        <v>1416</v>
      </c>
    </row>
    <row r="29" spans="1:8" x14ac:dyDescent="0.35">
      <c r="A29" t="s">
        <v>1426</v>
      </c>
      <c r="B29" t="s">
        <v>788</v>
      </c>
      <c r="C29" t="s">
        <v>1394</v>
      </c>
      <c r="E29" s="2">
        <v>45288</v>
      </c>
      <c r="F29" s="2"/>
      <c r="H29" t="s">
        <v>1395</v>
      </c>
    </row>
    <row r="30" spans="1:8" x14ac:dyDescent="0.35">
      <c r="A30" t="s">
        <v>1427</v>
      </c>
      <c r="B30" t="s">
        <v>523</v>
      </c>
      <c r="C30" t="s">
        <v>1394</v>
      </c>
      <c r="E30" s="2">
        <v>44923</v>
      </c>
      <c r="F30" s="2"/>
      <c r="H30" t="s">
        <v>1395</v>
      </c>
    </row>
    <row r="31" spans="1:8" x14ac:dyDescent="0.35">
      <c r="A31" t="s">
        <v>1428</v>
      </c>
      <c r="B31" t="s">
        <v>869</v>
      </c>
      <c r="C31" t="s">
        <v>1394</v>
      </c>
      <c r="E31" s="2">
        <v>44954</v>
      </c>
      <c r="F31" s="2"/>
      <c r="H31" t="s">
        <v>1395</v>
      </c>
    </row>
    <row r="32" spans="1:8" x14ac:dyDescent="0.35">
      <c r="A32" t="s">
        <v>1429</v>
      </c>
      <c r="B32" t="s">
        <v>810</v>
      </c>
      <c r="C32" t="s">
        <v>1398</v>
      </c>
      <c r="E32" s="2">
        <v>45501</v>
      </c>
      <c r="F32" s="2"/>
      <c r="H32" t="s">
        <v>1416</v>
      </c>
    </row>
    <row r="33" spans="1:8" x14ac:dyDescent="0.35">
      <c r="A33" t="s">
        <v>1430</v>
      </c>
      <c r="B33" t="s">
        <v>929</v>
      </c>
      <c r="C33" t="s">
        <v>1394</v>
      </c>
      <c r="E33" s="2">
        <v>45532</v>
      </c>
      <c r="F33" s="2"/>
      <c r="H33" t="s">
        <v>1395</v>
      </c>
    </row>
    <row r="34" spans="1:8" x14ac:dyDescent="0.35">
      <c r="A34" t="s">
        <v>1431</v>
      </c>
      <c r="B34" t="s">
        <v>1352</v>
      </c>
      <c r="C34" t="s">
        <v>1394</v>
      </c>
      <c r="E34" s="2">
        <v>44893</v>
      </c>
      <c r="F34" s="2"/>
      <c r="H34" t="s">
        <v>1395</v>
      </c>
    </row>
    <row r="35" spans="1:8" x14ac:dyDescent="0.35">
      <c r="A35" t="s">
        <v>1432</v>
      </c>
      <c r="B35" t="s">
        <v>1237</v>
      </c>
      <c r="C35" t="s">
        <v>1401</v>
      </c>
      <c r="D35">
        <v>36014.21</v>
      </c>
      <c r="E35" s="2">
        <v>45258</v>
      </c>
      <c r="F35" s="2">
        <v>45263</v>
      </c>
      <c r="G35">
        <v>5</v>
      </c>
      <c r="H35" t="s">
        <v>1399</v>
      </c>
    </row>
    <row r="36" spans="1:8" x14ac:dyDescent="0.35">
      <c r="A36" t="s">
        <v>1433</v>
      </c>
      <c r="B36" t="s">
        <v>493</v>
      </c>
      <c r="C36" t="s">
        <v>1401</v>
      </c>
      <c r="D36">
        <v>33338.26</v>
      </c>
      <c r="E36" s="2">
        <v>45440</v>
      </c>
      <c r="F36" s="2">
        <v>45447</v>
      </c>
      <c r="G36">
        <v>7</v>
      </c>
      <c r="H36" t="s">
        <v>1399</v>
      </c>
    </row>
    <row r="37" spans="1:8" x14ac:dyDescent="0.35">
      <c r="A37" t="s">
        <v>1434</v>
      </c>
      <c r="B37" t="s">
        <v>1296</v>
      </c>
      <c r="C37" t="s">
        <v>1398</v>
      </c>
      <c r="E37" s="2">
        <v>45379</v>
      </c>
      <c r="F37" s="2">
        <v>45386</v>
      </c>
      <c r="G37">
        <v>7</v>
      </c>
      <c r="H37" t="s">
        <v>1435</v>
      </c>
    </row>
    <row r="38" spans="1:8" x14ac:dyDescent="0.35">
      <c r="A38" t="s">
        <v>1436</v>
      </c>
      <c r="B38" t="s">
        <v>1100</v>
      </c>
      <c r="C38" t="s">
        <v>1394</v>
      </c>
      <c r="E38" s="2">
        <v>45501</v>
      </c>
      <c r="F38" s="2"/>
      <c r="H38" t="s">
        <v>1395</v>
      </c>
    </row>
    <row r="39" spans="1:8" x14ac:dyDescent="0.35">
      <c r="A39" t="s">
        <v>1437</v>
      </c>
      <c r="B39" t="s">
        <v>952</v>
      </c>
      <c r="C39" t="s">
        <v>1398</v>
      </c>
      <c r="E39" s="2">
        <v>45501</v>
      </c>
      <c r="F39" s="2"/>
      <c r="H39" t="s">
        <v>1416</v>
      </c>
    </row>
    <row r="40" spans="1:8" x14ac:dyDescent="0.35">
      <c r="A40" t="s">
        <v>1438</v>
      </c>
      <c r="B40" t="s">
        <v>468</v>
      </c>
      <c r="C40" t="s">
        <v>1398</v>
      </c>
      <c r="D40">
        <v>18470.61</v>
      </c>
      <c r="E40" s="2">
        <v>45135</v>
      </c>
      <c r="F40" s="2">
        <v>45169</v>
      </c>
      <c r="G40">
        <v>34</v>
      </c>
      <c r="H40" t="s">
        <v>1399</v>
      </c>
    </row>
    <row r="41" spans="1:8" x14ac:dyDescent="0.35">
      <c r="A41" t="s">
        <v>1439</v>
      </c>
      <c r="B41" t="s">
        <v>1246</v>
      </c>
      <c r="C41" t="s">
        <v>1394</v>
      </c>
      <c r="E41" s="2">
        <v>45501</v>
      </c>
      <c r="F41" s="2"/>
      <c r="H41" t="s">
        <v>1395</v>
      </c>
    </row>
    <row r="42" spans="1:8" x14ac:dyDescent="0.35">
      <c r="A42" t="s">
        <v>1440</v>
      </c>
      <c r="B42" t="s">
        <v>796</v>
      </c>
      <c r="C42" t="s">
        <v>1401</v>
      </c>
      <c r="D42">
        <v>13946.33</v>
      </c>
      <c r="E42" s="2">
        <v>45197</v>
      </c>
      <c r="F42" s="2">
        <v>45211</v>
      </c>
      <c r="G42">
        <v>14</v>
      </c>
      <c r="H42" t="s">
        <v>1399</v>
      </c>
    </row>
    <row r="43" spans="1:8" x14ac:dyDescent="0.35">
      <c r="A43" t="s">
        <v>1441</v>
      </c>
      <c r="B43" t="s">
        <v>893</v>
      </c>
      <c r="C43" t="s">
        <v>1398</v>
      </c>
      <c r="D43">
        <v>10444.040000000001</v>
      </c>
      <c r="E43" s="2">
        <v>44648</v>
      </c>
      <c r="F43" s="2">
        <v>44673</v>
      </c>
      <c r="G43">
        <v>25</v>
      </c>
      <c r="H43" t="s">
        <v>1399</v>
      </c>
    </row>
    <row r="44" spans="1:8" x14ac:dyDescent="0.35">
      <c r="A44" t="s">
        <v>1442</v>
      </c>
      <c r="B44" t="s">
        <v>458</v>
      </c>
      <c r="C44" t="s">
        <v>1401</v>
      </c>
      <c r="D44">
        <v>11019.5</v>
      </c>
      <c r="E44" s="2">
        <v>45258</v>
      </c>
      <c r="F44" s="2">
        <v>45264</v>
      </c>
      <c r="G44">
        <v>6</v>
      </c>
      <c r="H44" t="s">
        <v>1399</v>
      </c>
    </row>
    <row r="45" spans="1:8" x14ac:dyDescent="0.35">
      <c r="A45" t="s">
        <v>1443</v>
      </c>
      <c r="B45" t="s">
        <v>1004</v>
      </c>
      <c r="C45" t="s">
        <v>1398</v>
      </c>
      <c r="D45">
        <v>4865.03</v>
      </c>
      <c r="E45" s="2">
        <v>45135</v>
      </c>
      <c r="F45" s="2">
        <v>45145</v>
      </c>
      <c r="G45">
        <v>10</v>
      </c>
      <c r="H45" t="s">
        <v>1399</v>
      </c>
    </row>
    <row r="46" spans="1:8" x14ac:dyDescent="0.35">
      <c r="A46" t="s">
        <v>1444</v>
      </c>
      <c r="B46" t="s">
        <v>1329</v>
      </c>
      <c r="C46" t="s">
        <v>1398</v>
      </c>
      <c r="D46">
        <v>6908.29</v>
      </c>
      <c r="E46" s="2">
        <v>45440</v>
      </c>
      <c r="F46" s="2"/>
      <c r="H46" t="s">
        <v>1416</v>
      </c>
    </row>
    <row r="47" spans="1:8" x14ac:dyDescent="0.35">
      <c r="A47" t="s">
        <v>1445</v>
      </c>
      <c r="B47" t="s">
        <v>450</v>
      </c>
      <c r="C47" t="s">
        <v>1398</v>
      </c>
      <c r="D47">
        <v>17225.560000000001</v>
      </c>
      <c r="E47" s="2">
        <v>45410</v>
      </c>
      <c r="F47" s="2">
        <v>45410</v>
      </c>
      <c r="G47">
        <v>0</v>
      </c>
      <c r="H47" t="s">
        <v>1399</v>
      </c>
    </row>
    <row r="48" spans="1:8" x14ac:dyDescent="0.35">
      <c r="A48" t="s">
        <v>1446</v>
      </c>
      <c r="B48" t="s">
        <v>1217</v>
      </c>
      <c r="C48" t="s">
        <v>1401</v>
      </c>
      <c r="D48">
        <v>23735.78</v>
      </c>
      <c r="E48" s="2">
        <v>44620</v>
      </c>
      <c r="F48" s="2">
        <v>44623</v>
      </c>
      <c r="G48">
        <v>3</v>
      </c>
      <c r="H48" t="s">
        <v>1399</v>
      </c>
    </row>
    <row r="49" spans="1:8" x14ac:dyDescent="0.35">
      <c r="A49" t="s">
        <v>1447</v>
      </c>
      <c r="B49" t="s">
        <v>1375</v>
      </c>
      <c r="C49" t="s">
        <v>1394</v>
      </c>
      <c r="E49" s="2">
        <v>44770</v>
      </c>
      <c r="F49" s="2"/>
      <c r="H49" t="s">
        <v>1395</v>
      </c>
    </row>
    <row r="50" spans="1:8" x14ac:dyDescent="0.35">
      <c r="A50" t="s">
        <v>1448</v>
      </c>
      <c r="B50" t="s">
        <v>511</v>
      </c>
      <c r="C50" t="s">
        <v>1398</v>
      </c>
      <c r="E50" s="2">
        <v>45532</v>
      </c>
      <c r="F50" s="2">
        <v>45533</v>
      </c>
      <c r="G50">
        <v>1</v>
      </c>
      <c r="H50" t="s">
        <v>1435</v>
      </c>
    </row>
    <row r="51" spans="1:8" x14ac:dyDescent="0.35">
      <c r="A51" t="s">
        <v>1449</v>
      </c>
      <c r="B51" t="s">
        <v>801</v>
      </c>
      <c r="C51" t="s">
        <v>1394</v>
      </c>
      <c r="E51" s="2">
        <v>45074</v>
      </c>
      <c r="F51" s="2"/>
      <c r="H51" t="s">
        <v>1395</v>
      </c>
    </row>
    <row r="52" spans="1:8" x14ac:dyDescent="0.35">
      <c r="A52" t="s">
        <v>1450</v>
      </c>
      <c r="B52" t="s">
        <v>575</v>
      </c>
      <c r="C52" t="s">
        <v>1398</v>
      </c>
      <c r="E52" s="2">
        <v>45166</v>
      </c>
      <c r="F52" s="2"/>
      <c r="H52" t="s">
        <v>1416</v>
      </c>
    </row>
    <row r="53" spans="1:8" x14ac:dyDescent="0.35">
      <c r="A53" t="s">
        <v>1451</v>
      </c>
      <c r="B53" t="s">
        <v>538</v>
      </c>
      <c r="C53" t="s">
        <v>1401</v>
      </c>
      <c r="D53">
        <v>21192.959999999999</v>
      </c>
      <c r="E53" s="2">
        <v>45013</v>
      </c>
      <c r="F53" s="2">
        <v>45031</v>
      </c>
      <c r="G53">
        <v>18</v>
      </c>
      <c r="H53" t="s">
        <v>1399</v>
      </c>
    </row>
    <row r="54" spans="1:8" x14ac:dyDescent="0.35">
      <c r="A54" t="s">
        <v>1452</v>
      </c>
      <c r="B54" t="s">
        <v>395</v>
      </c>
      <c r="C54" t="s">
        <v>1401</v>
      </c>
      <c r="D54">
        <v>23395.84</v>
      </c>
      <c r="E54" s="2">
        <v>45135</v>
      </c>
      <c r="F54" s="2">
        <v>45142</v>
      </c>
      <c r="G54">
        <v>7</v>
      </c>
      <c r="H54" t="s">
        <v>1399</v>
      </c>
    </row>
    <row r="55" spans="1:8" x14ac:dyDescent="0.35">
      <c r="A55" t="s">
        <v>1453</v>
      </c>
      <c r="B55" t="s">
        <v>593</v>
      </c>
      <c r="C55" t="s">
        <v>1398</v>
      </c>
      <c r="D55">
        <v>19186.98</v>
      </c>
      <c r="E55" s="2">
        <v>45105</v>
      </c>
      <c r="F55" s="2">
        <v>45116</v>
      </c>
      <c r="G55">
        <v>11</v>
      </c>
      <c r="H55" t="s">
        <v>1399</v>
      </c>
    </row>
    <row r="56" spans="1:8" x14ac:dyDescent="0.35">
      <c r="A56" t="s">
        <v>1454</v>
      </c>
      <c r="B56" t="s">
        <v>467</v>
      </c>
      <c r="C56" t="s">
        <v>1394</v>
      </c>
      <c r="E56" s="2">
        <v>45410</v>
      </c>
      <c r="F56" s="2"/>
      <c r="H56" t="s">
        <v>1395</v>
      </c>
    </row>
    <row r="57" spans="1:8" x14ac:dyDescent="0.35">
      <c r="A57" t="s">
        <v>1455</v>
      </c>
      <c r="B57" t="s">
        <v>751</v>
      </c>
      <c r="C57" t="s">
        <v>1398</v>
      </c>
      <c r="D57">
        <v>997.27</v>
      </c>
      <c r="E57" s="2">
        <v>44832</v>
      </c>
      <c r="F57" s="2">
        <v>44875</v>
      </c>
      <c r="G57">
        <v>43</v>
      </c>
      <c r="H57" t="s">
        <v>1399</v>
      </c>
    </row>
    <row r="58" spans="1:8" x14ac:dyDescent="0.35">
      <c r="A58" t="s">
        <v>1456</v>
      </c>
      <c r="B58" t="s">
        <v>761</v>
      </c>
      <c r="C58" t="s">
        <v>1398</v>
      </c>
      <c r="D58">
        <v>4293.71</v>
      </c>
      <c r="E58" s="2">
        <v>45197</v>
      </c>
      <c r="F58" s="2"/>
      <c r="H58" t="s">
        <v>1416</v>
      </c>
    </row>
    <row r="59" spans="1:8" x14ac:dyDescent="0.35">
      <c r="A59" t="s">
        <v>1457</v>
      </c>
      <c r="B59" t="s">
        <v>1081</v>
      </c>
      <c r="C59" t="s">
        <v>1401</v>
      </c>
      <c r="D59">
        <v>8479.75</v>
      </c>
      <c r="E59" s="2">
        <v>45197</v>
      </c>
      <c r="F59" s="2">
        <v>45210</v>
      </c>
      <c r="G59">
        <v>13</v>
      </c>
      <c r="H59" t="s">
        <v>1399</v>
      </c>
    </row>
    <row r="60" spans="1:8" x14ac:dyDescent="0.35">
      <c r="A60" t="s">
        <v>1458</v>
      </c>
      <c r="B60" t="s">
        <v>1096</v>
      </c>
      <c r="C60" t="s">
        <v>1401</v>
      </c>
      <c r="D60">
        <v>32554.83</v>
      </c>
      <c r="E60" s="2">
        <v>44954</v>
      </c>
      <c r="F60" s="2">
        <v>45042</v>
      </c>
      <c r="G60">
        <v>88</v>
      </c>
      <c r="H60" t="s">
        <v>1399</v>
      </c>
    </row>
    <row r="61" spans="1:8" x14ac:dyDescent="0.35">
      <c r="A61" t="s">
        <v>1459</v>
      </c>
      <c r="B61" t="s">
        <v>1116</v>
      </c>
      <c r="C61" t="s">
        <v>1394</v>
      </c>
      <c r="E61" s="2">
        <v>44862</v>
      </c>
      <c r="F61" s="2"/>
      <c r="H61" t="s">
        <v>1395</v>
      </c>
    </row>
    <row r="62" spans="1:8" x14ac:dyDescent="0.35">
      <c r="A62" t="s">
        <v>1460</v>
      </c>
      <c r="B62" t="s">
        <v>1275</v>
      </c>
      <c r="C62" t="s">
        <v>1394</v>
      </c>
      <c r="E62" s="2">
        <v>45197</v>
      </c>
      <c r="F62" s="2"/>
      <c r="H62" t="s">
        <v>1395</v>
      </c>
    </row>
    <row r="63" spans="1:8" x14ac:dyDescent="0.35">
      <c r="A63" t="s">
        <v>1461</v>
      </c>
      <c r="B63" t="s">
        <v>656</v>
      </c>
      <c r="C63" t="s">
        <v>1401</v>
      </c>
      <c r="D63">
        <v>16565.5</v>
      </c>
      <c r="E63" s="2">
        <v>45532</v>
      </c>
      <c r="F63" s="2">
        <v>45538</v>
      </c>
      <c r="G63">
        <v>6</v>
      </c>
      <c r="H63" t="s">
        <v>1399</v>
      </c>
    </row>
    <row r="64" spans="1:8" x14ac:dyDescent="0.35">
      <c r="A64" t="s">
        <v>1462</v>
      </c>
      <c r="B64" t="s">
        <v>509</v>
      </c>
      <c r="C64" t="s">
        <v>1398</v>
      </c>
      <c r="D64">
        <v>3899.76</v>
      </c>
      <c r="E64" s="2">
        <v>45319</v>
      </c>
      <c r="F64" s="2">
        <v>45382</v>
      </c>
      <c r="G64">
        <v>63</v>
      </c>
      <c r="H64" t="s">
        <v>1399</v>
      </c>
    </row>
    <row r="65" spans="1:8" x14ac:dyDescent="0.35">
      <c r="A65" t="s">
        <v>1463</v>
      </c>
      <c r="B65" t="s">
        <v>1030</v>
      </c>
      <c r="C65" t="s">
        <v>1398</v>
      </c>
      <c r="D65">
        <v>15270.12</v>
      </c>
      <c r="E65" s="2">
        <v>45258</v>
      </c>
      <c r="F65" s="2"/>
      <c r="H65" t="s">
        <v>1416</v>
      </c>
    </row>
    <row r="66" spans="1:8" x14ac:dyDescent="0.35">
      <c r="A66" t="s">
        <v>1464</v>
      </c>
      <c r="B66" t="s">
        <v>572</v>
      </c>
      <c r="C66" t="s">
        <v>1394</v>
      </c>
      <c r="E66" s="2">
        <v>44862</v>
      </c>
      <c r="F66" s="2"/>
      <c r="H66" t="s">
        <v>1395</v>
      </c>
    </row>
    <row r="67" spans="1:8" x14ac:dyDescent="0.35">
      <c r="A67" t="s">
        <v>1465</v>
      </c>
      <c r="B67" t="s">
        <v>1050</v>
      </c>
      <c r="C67" t="s">
        <v>1394</v>
      </c>
      <c r="E67" s="2">
        <v>45227</v>
      </c>
      <c r="F67" s="2"/>
      <c r="H67" t="s">
        <v>1395</v>
      </c>
    </row>
    <row r="68" spans="1:8" x14ac:dyDescent="0.35">
      <c r="A68" t="s">
        <v>1466</v>
      </c>
      <c r="B68" t="s">
        <v>1053</v>
      </c>
      <c r="C68" t="s">
        <v>1398</v>
      </c>
      <c r="E68" s="2">
        <v>44679</v>
      </c>
      <c r="F68" s="2"/>
      <c r="H68" t="s">
        <v>1416</v>
      </c>
    </row>
    <row r="69" spans="1:8" x14ac:dyDescent="0.35">
      <c r="A69" t="s">
        <v>1467</v>
      </c>
      <c r="B69" t="s">
        <v>724</v>
      </c>
      <c r="C69" t="s">
        <v>1401</v>
      </c>
      <c r="D69">
        <v>37987.879999999997</v>
      </c>
      <c r="E69" s="2">
        <v>44923</v>
      </c>
      <c r="F69" s="2">
        <v>44952</v>
      </c>
      <c r="G69">
        <v>29</v>
      </c>
      <c r="H69" t="s">
        <v>1399</v>
      </c>
    </row>
    <row r="70" spans="1:8" x14ac:dyDescent="0.35">
      <c r="A70" t="s">
        <v>1468</v>
      </c>
      <c r="B70" t="s">
        <v>1061</v>
      </c>
      <c r="C70" t="s">
        <v>1401</v>
      </c>
      <c r="D70">
        <v>5111.83</v>
      </c>
      <c r="E70" s="2">
        <v>45013</v>
      </c>
      <c r="F70" s="2">
        <v>45016</v>
      </c>
      <c r="G70">
        <v>3</v>
      </c>
      <c r="H70" t="s">
        <v>1399</v>
      </c>
    </row>
    <row r="71" spans="1:8" x14ac:dyDescent="0.35">
      <c r="A71" t="s">
        <v>1469</v>
      </c>
      <c r="B71" t="s">
        <v>369</v>
      </c>
      <c r="C71" t="s">
        <v>1401</v>
      </c>
      <c r="D71">
        <v>5651.8</v>
      </c>
      <c r="E71" s="2">
        <v>44862</v>
      </c>
      <c r="F71" s="2">
        <v>44866</v>
      </c>
      <c r="G71">
        <v>4</v>
      </c>
      <c r="H71" t="s">
        <v>1399</v>
      </c>
    </row>
    <row r="72" spans="1:8" x14ac:dyDescent="0.35">
      <c r="A72" t="s">
        <v>1470</v>
      </c>
      <c r="B72" t="s">
        <v>1016</v>
      </c>
      <c r="C72" t="s">
        <v>1401</v>
      </c>
      <c r="D72">
        <v>10706.09</v>
      </c>
      <c r="E72" s="2">
        <v>44862</v>
      </c>
      <c r="F72" s="2">
        <v>44902</v>
      </c>
      <c r="G72">
        <v>40</v>
      </c>
      <c r="H72" t="s">
        <v>1399</v>
      </c>
    </row>
    <row r="73" spans="1:8" x14ac:dyDescent="0.35">
      <c r="A73" t="s">
        <v>1471</v>
      </c>
      <c r="B73" t="s">
        <v>963</v>
      </c>
      <c r="C73" t="s">
        <v>1398</v>
      </c>
      <c r="D73">
        <v>482.3</v>
      </c>
      <c r="E73" s="2">
        <v>45440</v>
      </c>
      <c r="F73" s="2"/>
      <c r="H73" t="s">
        <v>1416</v>
      </c>
    </row>
    <row r="74" spans="1:8" x14ac:dyDescent="0.35">
      <c r="A74" t="s">
        <v>1472</v>
      </c>
      <c r="B74" t="s">
        <v>1006</v>
      </c>
      <c r="C74" t="s">
        <v>1401</v>
      </c>
      <c r="D74">
        <v>29228.69</v>
      </c>
      <c r="E74" s="2">
        <v>44862</v>
      </c>
      <c r="F74" s="2">
        <v>44875</v>
      </c>
      <c r="G74">
        <v>13</v>
      </c>
      <c r="H74" t="s">
        <v>1399</v>
      </c>
    </row>
    <row r="75" spans="1:8" x14ac:dyDescent="0.35">
      <c r="A75" t="s">
        <v>1473</v>
      </c>
      <c r="B75" t="s">
        <v>447</v>
      </c>
      <c r="C75" t="s">
        <v>1398</v>
      </c>
      <c r="D75">
        <v>11274.92</v>
      </c>
      <c r="E75" s="2">
        <v>45044</v>
      </c>
      <c r="F75" s="2">
        <v>45091</v>
      </c>
      <c r="G75">
        <v>47</v>
      </c>
      <c r="H75" t="s">
        <v>1399</v>
      </c>
    </row>
    <row r="76" spans="1:8" x14ac:dyDescent="0.35">
      <c r="A76" t="s">
        <v>1474</v>
      </c>
      <c r="B76" t="s">
        <v>1153</v>
      </c>
      <c r="C76" t="s">
        <v>1394</v>
      </c>
      <c r="E76" s="2">
        <v>45563</v>
      </c>
      <c r="F76" s="2"/>
      <c r="H76" t="s">
        <v>1395</v>
      </c>
    </row>
    <row r="77" spans="1:8" x14ac:dyDescent="0.35">
      <c r="A77" t="s">
        <v>1475</v>
      </c>
      <c r="B77" t="s">
        <v>694</v>
      </c>
      <c r="C77" t="s">
        <v>1398</v>
      </c>
      <c r="D77">
        <v>17865.810000000001</v>
      </c>
      <c r="E77" s="2">
        <v>44679</v>
      </c>
      <c r="F77" s="2">
        <v>44685</v>
      </c>
      <c r="G77">
        <v>6</v>
      </c>
      <c r="H77" t="s">
        <v>1399</v>
      </c>
    </row>
    <row r="78" spans="1:8" x14ac:dyDescent="0.35">
      <c r="A78" t="s">
        <v>1476</v>
      </c>
      <c r="B78" t="s">
        <v>706</v>
      </c>
      <c r="C78" t="s">
        <v>1394</v>
      </c>
      <c r="E78" s="2">
        <v>44740</v>
      </c>
      <c r="F78" s="2"/>
      <c r="H78" t="s">
        <v>1395</v>
      </c>
    </row>
    <row r="79" spans="1:8" x14ac:dyDescent="0.35">
      <c r="A79" t="s">
        <v>1477</v>
      </c>
      <c r="B79" t="s">
        <v>886</v>
      </c>
      <c r="C79" t="s">
        <v>1401</v>
      </c>
      <c r="D79">
        <v>19167.3</v>
      </c>
      <c r="E79" s="2">
        <v>45105</v>
      </c>
      <c r="F79" s="2">
        <v>45167</v>
      </c>
      <c r="G79">
        <v>62</v>
      </c>
      <c r="H79" t="s">
        <v>1399</v>
      </c>
    </row>
    <row r="80" spans="1:8" x14ac:dyDescent="0.35">
      <c r="A80" t="s">
        <v>1478</v>
      </c>
      <c r="B80" t="s">
        <v>693</v>
      </c>
      <c r="C80" t="s">
        <v>1394</v>
      </c>
      <c r="E80" s="2">
        <v>44740</v>
      </c>
      <c r="F80" s="2"/>
      <c r="H80" t="s">
        <v>1395</v>
      </c>
    </row>
    <row r="81" spans="1:8" x14ac:dyDescent="0.35">
      <c r="A81" t="s">
        <v>1479</v>
      </c>
      <c r="B81" t="s">
        <v>669</v>
      </c>
      <c r="C81" t="s">
        <v>1401</v>
      </c>
      <c r="D81">
        <v>9142.07</v>
      </c>
      <c r="E81" s="2">
        <v>44832</v>
      </c>
      <c r="F81" s="2">
        <v>44838</v>
      </c>
      <c r="G81">
        <v>6</v>
      </c>
      <c r="H81" t="s">
        <v>1399</v>
      </c>
    </row>
    <row r="82" spans="1:8" x14ac:dyDescent="0.35">
      <c r="A82" t="s">
        <v>1480</v>
      </c>
      <c r="B82" t="s">
        <v>433</v>
      </c>
      <c r="C82" t="s">
        <v>1401</v>
      </c>
      <c r="D82">
        <v>30349.99</v>
      </c>
      <c r="E82" s="2">
        <v>44620</v>
      </c>
      <c r="F82" s="2">
        <v>44661</v>
      </c>
      <c r="G82">
        <v>41</v>
      </c>
      <c r="H82" t="s">
        <v>1399</v>
      </c>
    </row>
    <row r="83" spans="1:8" x14ac:dyDescent="0.35">
      <c r="A83" t="s">
        <v>1481</v>
      </c>
      <c r="B83" t="s">
        <v>739</v>
      </c>
      <c r="C83" t="s">
        <v>1394</v>
      </c>
      <c r="E83" s="2">
        <v>44801</v>
      </c>
      <c r="F83" s="2"/>
      <c r="H83" t="s">
        <v>1395</v>
      </c>
    </row>
    <row r="84" spans="1:8" x14ac:dyDescent="0.35">
      <c r="A84" t="s">
        <v>1482</v>
      </c>
      <c r="B84" t="s">
        <v>676</v>
      </c>
      <c r="C84" t="s">
        <v>1394</v>
      </c>
      <c r="E84" s="2">
        <v>45288</v>
      </c>
      <c r="F84" s="2"/>
      <c r="H84" t="s">
        <v>1395</v>
      </c>
    </row>
    <row r="85" spans="1:8" x14ac:dyDescent="0.35">
      <c r="A85" t="s">
        <v>1483</v>
      </c>
      <c r="B85" t="s">
        <v>1224</v>
      </c>
      <c r="C85" t="s">
        <v>1394</v>
      </c>
      <c r="E85" s="2">
        <v>45440</v>
      </c>
      <c r="F85" s="2"/>
      <c r="H85" t="s">
        <v>1395</v>
      </c>
    </row>
    <row r="86" spans="1:8" x14ac:dyDescent="0.35">
      <c r="A86" t="s">
        <v>1484</v>
      </c>
      <c r="B86" t="s">
        <v>876</v>
      </c>
      <c r="C86" t="s">
        <v>1401</v>
      </c>
      <c r="D86">
        <v>16764.12</v>
      </c>
      <c r="E86" s="2">
        <v>44954</v>
      </c>
      <c r="F86" s="2">
        <v>45012</v>
      </c>
      <c r="G86">
        <v>58</v>
      </c>
      <c r="H86" t="s">
        <v>1399</v>
      </c>
    </row>
    <row r="87" spans="1:8" x14ac:dyDescent="0.35">
      <c r="A87" t="s">
        <v>1485</v>
      </c>
      <c r="B87" t="s">
        <v>655</v>
      </c>
      <c r="C87" t="s">
        <v>1401</v>
      </c>
      <c r="D87">
        <v>8160.13</v>
      </c>
      <c r="E87" s="2">
        <v>44985</v>
      </c>
      <c r="F87" s="2">
        <v>44996</v>
      </c>
      <c r="G87">
        <v>11</v>
      </c>
      <c r="H87" t="s">
        <v>1399</v>
      </c>
    </row>
    <row r="88" spans="1:8" x14ac:dyDescent="0.35">
      <c r="A88" t="s">
        <v>1486</v>
      </c>
      <c r="B88" t="s">
        <v>888</v>
      </c>
      <c r="C88" t="s">
        <v>1401</v>
      </c>
      <c r="D88">
        <v>35657.9</v>
      </c>
      <c r="E88" s="2">
        <v>45624</v>
      </c>
      <c r="F88" s="2">
        <v>45625</v>
      </c>
      <c r="G88">
        <v>1</v>
      </c>
      <c r="H88" t="s">
        <v>1399</v>
      </c>
    </row>
    <row r="89" spans="1:8" x14ac:dyDescent="0.35">
      <c r="A89" t="s">
        <v>1487</v>
      </c>
      <c r="B89" t="s">
        <v>1038</v>
      </c>
      <c r="C89" t="s">
        <v>1394</v>
      </c>
      <c r="E89" s="2">
        <v>44740</v>
      </c>
      <c r="F89" s="2"/>
      <c r="H89" t="s">
        <v>1395</v>
      </c>
    </row>
    <row r="90" spans="1:8" x14ac:dyDescent="0.35">
      <c r="A90" t="s">
        <v>1488</v>
      </c>
      <c r="B90" t="s">
        <v>1256</v>
      </c>
      <c r="C90" t="s">
        <v>1394</v>
      </c>
      <c r="E90" s="2">
        <v>45013</v>
      </c>
      <c r="F90" s="2"/>
      <c r="H90" t="s">
        <v>1395</v>
      </c>
    </row>
    <row r="91" spans="1:8" x14ac:dyDescent="0.35">
      <c r="A91" t="s">
        <v>1489</v>
      </c>
      <c r="B91" t="s">
        <v>410</v>
      </c>
      <c r="C91" t="s">
        <v>1394</v>
      </c>
      <c r="E91" s="2">
        <v>45532</v>
      </c>
      <c r="F91" s="2"/>
      <c r="H91" t="s">
        <v>1395</v>
      </c>
    </row>
    <row r="92" spans="1:8" x14ac:dyDescent="0.35">
      <c r="A92" t="s">
        <v>1490</v>
      </c>
      <c r="B92" t="s">
        <v>599</v>
      </c>
      <c r="C92" t="s">
        <v>1398</v>
      </c>
      <c r="D92">
        <v>7280.2</v>
      </c>
      <c r="E92" s="2">
        <v>44709</v>
      </c>
      <c r="F92" s="2">
        <v>44748</v>
      </c>
      <c r="G92">
        <v>39</v>
      </c>
      <c r="H92" t="s">
        <v>1399</v>
      </c>
    </row>
    <row r="93" spans="1:8" x14ac:dyDescent="0.35">
      <c r="A93" t="s">
        <v>1491</v>
      </c>
      <c r="B93" t="s">
        <v>1382</v>
      </c>
      <c r="C93" t="s">
        <v>1394</v>
      </c>
      <c r="E93" s="2">
        <v>45624</v>
      </c>
      <c r="F93" s="2"/>
      <c r="H93" t="s">
        <v>1395</v>
      </c>
    </row>
    <row r="94" spans="1:8" x14ac:dyDescent="0.35">
      <c r="A94" t="s">
        <v>1492</v>
      </c>
      <c r="B94" t="s">
        <v>1170</v>
      </c>
      <c r="C94" t="s">
        <v>1401</v>
      </c>
      <c r="D94">
        <v>4524.9799999999996</v>
      </c>
      <c r="E94" s="2">
        <v>45350</v>
      </c>
      <c r="F94" s="2">
        <v>45363</v>
      </c>
      <c r="G94">
        <v>13</v>
      </c>
      <c r="H94" t="s">
        <v>1399</v>
      </c>
    </row>
    <row r="95" spans="1:8" x14ac:dyDescent="0.35">
      <c r="A95" t="s">
        <v>1493</v>
      </c>
      <c r="B95" t="s">
        <v>906</v>
      </c>
      <c r="C95" t="s">
        <v>1394</v>
      </c>
      <c r="E95" s="2">
        <v>44985</v>
      </c>
      <c r="F95" s="2"/>
      <c r="H95" t="s">
        <v>1395</v>
      </c>
    </row>
    <row r="96" spans="1:8" x14ac:dyDescent="0.35">
      <c r="A96" t="s">
        <v>1494</v>
      </c>
      <c r="B96" t="s">
        <v>681</v>
      </c>
      <c r="C96" t="s">
        <v>1394</v>
      </c>
      <c r="E96" s="2">
        <v>45288</v>
      </c>
      <c r="F96" s="2"/>
      <c r="H96" t="s">
        <v>1395</v>
      </c>
    </row>
    <row r="97" spans="1:8" x14ac:dyDescent="0.35">
      <c r="A97" t="s">
        <v>1495</v>
      </c>
      <c r="B97" t="s">
        <v>875</v>
      </c>
      <c r="C97" t="s">
        <v>1401</v>
      </c>
      <c r="D97">
        <v>34135.279999999999</v>
      </c>
      <c r="E97" s="2">
        <v>45013</v>
      </c>
      <c r="F97" s="2">
        <v>45025</v>
      </c>
      <c r="G97">
        <v>12</v>
      </c>
      <c r="H97" t="s">
        <v>1399</v>
      </c>
    </row>
    <row r="98" spans="1:8" x14ac:dyDescent="0.35">
      <c r="A98" t="s">
        <v>1496</v>
      </c>
      <c r="B98" t="s">
        <v>851</v>
      </c>
      <c r="C98" t="s">
        <v>1398</v>
      </c>
      <c r="D98">
        <v>8509.23</v>
      </c>
      <c r="E98" s="2">
        <v>45471</v>
      </c>
      <c r="F98" s="2">
        <v>45477</v>
      </c>
      <c r="G98">
        <v>6</v>
      </c>
      <c r="H98" t="s">
        <v>1399</v>
      </c>
    </row>
    <row r="99" spans="1:8" x14ac:dyDescent="0.35">
      <c r="A99" t="s">
        <v>1497</v>
      </c>
      <c r="B99" t="s">
        <v>1151</v>
      </c>
      <c r="C99" t="s">
        <v>1394</v>
      </c>
      <c r="E99" s="2">
        <v>44740</v>
      </c>
      <c r="F99" s="2"/>
      <c r="H99" t="s">
        <v>1395</v>
      </c>
    </row>
    <row r="100" spans="1:8" x14ac:dyDescent="0.35">
      <c r="A100" t="s">
        <v>1498</v>
      </c>
      <c r="B100" t="s">
        <v>1027</v>
      </c>
      <c r="C100" t="s">
        <v>1394</v>
      </c>
      <c r="E100" s="2">
        <v>44740</v>
      </c>
      <c r="F100" s="2"/>
      <c r="H100" t="s">
        <v>1395</v>
      </c>
    </row>
    <row r="101" spans="1:8" x14ac:dyDescent="0.35">
      <c r="A101" t="s">
        <v>1499</v>
      </c>
      <c r="B101" t="s">
        <v>988</v>
      </c>
      <c r="C101" t="s">
        <v>1394</v>
      </c>
      <c r="E101" s="2">
        <v>45288</v>
      </c>
      <c r="F101" s="2"/>
      <c r="H101" t="s">
        <v>1395</v>
      </c>
    </row>
    <row r="102" spans="1:8" x14ac:dyDescent="0.35">
      <c r="A102" t="s">
        <v>1500</v>
      </c>
      <c r="B102" t="s">
        <v>1233</v>
      </c>
      <c r="C102" t="s">
        <v>1401</v>
      </c>
      <c r="D102">
        <v>6373.3</v>
      </c>
      <c r="E102" s="2">
        <v>44770</v>
      </c>
      <c r="F102" s="2">
        <v>44783</v>
      </c>
      <c r="G102">
        <v>13</v>
      </c>
      <c r="H102" t="s">
        <v>1399</v>
      </c>
    </row>
    <row r="103" spans="1:8" x14ac:dyDescent="0.35">
      <c r="A103" t="s">
        <v>1501</v>
      </c>
      <c r="B103" t="s">
        <v>839</v>
      </c>
      <c r="C103" t="s">
        <v>1394</v>
      </c>
      <c r="E103" s="2">
        <v>45319</v>
      </c>
      <c r="F103" s="2"/>
      <c r="H103" t="s">
        <v>1395</v>
      </c>
    </row>
    <row r="104" spans="1:8" x14ac:dyDescent="0.35">
      <c r="A104" t="s">
        <v>1502</v>
      </c>
      <c r="B104" t="s">
        <v>774</v>
      </c>
      <c r="C104" t="s">
        <v>1401</v>
      </c>
      <c r="D104">
        <v>18975.52</v>
      </c>
      <c r="E104" s="2">
        <v>45350</v>
      </c>
      <c r="F104" s="2">
        <v>45371</v>
      </c>
      <c r="G104">
        <v>21</v>
      </c>
      <c r="H104" t="s">
        <v>1399</v>
      </c>
    </row>
    <row r="105" spans="1:8" x14ac:dyDescent="0.35">
      <c r="A105" t="s">
        <v>1503</v>
      </c>
      <c r="B105" t="s">
        <v>1238</v>
      </c>
      <c r="C105" t="s">
        <v>1398</v>
      </c>
      <c r="D105">
        <v>6020.86</v>
      </c>
      <c r="E105" s="2">
        <v>44862</v>
      </c>
      <c r="F105" s="2">
        <v>44869</v>
      </c>
      <c r="G105">
        <v>7</v>
      </c>
      <c r="H105" t="s">
        <v>1399</v>
      </c>
    </row>
    <row r="106" spans="1:8" x14ac:dyDescent="0.35">
      <c r="A106" t="s">
        <v>1504</v>
      </c>
      <c r="B106" t="s">
        <v>927</v>
      </c>
      <c r="C106" t="s">
        <v>1394</v>
      </c>
      <c r="E106" s="2">
        <v>44709</v>
      </c>
      <c r="F106" s="2"/>
      <c r="H106" t="s">
        <v>1395</v>
      </c>
    </row>
    <row r="107" spans="1:8" x14ac:dyDescent="0.35">
      <c r="A107" t="s">
        <v>1505</v>
      </c>
      <c r="B107" t="s">
        <v>1165</v>
      </c>
      <c r="C107" t="s">
        <v>1398</v>
      </c>
      <c r="E107" s="2">
        <v>45563</v>
      </c>
      <c r="F107" s="2">
        <v>45565</v>
      </c>
      <c r="G107">
        <v>2</v>
      </c>
      <c r="H107" t="s">
        <v>1435</v>
      </c>
    </row>
    <row r="108" spans="1:8" x14ac:dyDescent="0.35">
      <c r="A108" t="s">
        <v>1506</v>
      </c>
      <c r="B108" t="s">
        <v>873</v>
      </c>
      <c r="C108" t="s">
        <v>1394</v>
      </c>
      <c r="E108" s="2">
        <v>44620</v>
      </c>
      <c r="F108" s="2"/>
      <c r="H108" t="s">
        <v>1395</v>
      </c>
    </row>
    <row r="109" spans="1:8" x14ac:dyDescent="0.35">
      <c r="A109" t="s">
        <v>1507</v>
      </c>
      <c r="B109" t="s">
        <v>550</v>
      </c>
      <c r="C109" t="s">
        <v>1398</v>
      </c>
      <c r="E109" s="2">
        <v>45624</v>
      </c>
      <c r="F109" s="2">
        <v>45629</v>
      </c>
      <c r="G109">
        <v>5</v>
      </c>
      <c r="H109" t="s">
        <v>1435</v>
      </c>
    </row>
    <row r="110" spans="1:8" x14ac:dyDescent="0.35">
      <c r="A110" t="s">
        <v>1508</v>
      </c>
      <c r="B110" t="s">
        <v>901</v>
      </c>
      <c r="C110" t="s">
        <v>1401</v>
      </c>
      <c r="D110">
        <v>13052.84</v>
      </c>
      <c r="E110" s="2">
        <v>45379</v>
      </c>
      <c r="F110" s="2">
        <v>45379</v>
      </c>
      <c r="G110">
        <v>0</v>
      </c>
      <c r="H110" t="s">
        <v>1399</v>
      </c>
    </row>
    <row r="111" spans="1:8" x14ac:dyDescent="0.35">
      <c r="A111" t="s">
        <v>1509</v>
      </c>
      <c r="B111" t="s">
        <v>616</v>
      </c>
      <c r="C111" t="s">
        <v>1398</v>
      </c>
      <c r="D111">
        <v>2077.4699999999998</v>
      </c>
      <c r="E111" s="2">
        <v>45624</v>
      </c>
      <c r="F111" s="2"/>
      <c r="H111" t="s">
        <v>1416</v>
      </c>
    </row>
    <row r="112" spans="1:8" x14ac:dyDescent="0.35">
      <c r="A112" t="s">
        <v>1510</v>
      </c>
      <c r="B112" t="s">
        <v>965</v>
      </c>
      <c r="C112" t="s">
        <v>1398</v>
      </c>
      <c r="D112">
        <v>10735.48</v>
      </c>
      <c r="E112" s="2">
        <v>44709</v>
      </c>
      <c r="F112" s="2">
        <v>44719</v>
      </c>
      <c r="G112">
        <v>10</v>
      </c>
      <c r="H112" t="s">
        <v>1399</v>
      </c>
    </row>
    <row r="113" spans="1:8" x14ac:dyDescent="0.35">
      <c r="A113" t="s">
        <v>1511</v>
      </c>
      <c r="B113" t="s">
        <v>1196</v>
      </c>
      <c r="C113" t="s">
        <v>1401</v>
      </c>
      <c r="D113">
        <v>25012.36</v>
      </c>
      <c r="E113" s="2">
        <v>45624</v>
      </c>
      <c r="F113" s="2">
        <v>45628</v>
      </c>
      <c r="G113">
        <v>4</v>
      </c>
      <c r="H113" t="s">
        <v>1399</v>
      </c>
    </row>
    <row r="114" spans="1:8" x14ac:dyDescent="0.35">
      <c r="A114" t="s">
        <v>1512</v>
      </c>
      <c r="B114" t="s">
        <v>895</v>
      </c>
      <c r="C114" t="s">
        <v>1401</v>
      </c>
      <c r="D114">
        <v>4317.8100000000004</v>
      </c>
      <c r="E114" s="2">
        <v>44620</v>
      </c>
      <c r="F114" s="2">
        <v>44620</v>
      </c>
      <c r="G114">
        <v>0</v>
      </c>
      <c r="H114" t="s">
        <v>1399</v>
      </c>
    </row>
    <row r="115" spans="1:8" x14ac:dyDescent="0.35">
      <c r="A115" t="s">
        <v>1513</v>
      </c>
      <c r="B115" t="s">
        <v>709</v>
      </c>
      <c r="C115" t="s">
        <v>1394</v>
      </c>
      <c r="E115" s="2">
        <v>45410</v>
      </c>
      <c r="F115" s="2"/>
      <c r="H115" t="s">
        <v>1395</v>
      </c>
    </row>
    <row r="116" spans="1:8" x14ac:dyDescent="0.35">
      <c r="A116" t="s">
        <v>1514</v>
      </c>
      <c r="B116" t="s">
        <v>1087</v>
      </c>
      <c r="C116" t="s">
        <v>1398</v>
      </c>
      <c r="D116">
        <v>14979.4</v>
      </c>
      <c r="E116" s="2">
        <v>45471</v>
      </c>
      <c r="F116" s="2">
        <v>45490</v>
      </c>
      <c r="G116">
        <v>19</v>
      </c>
      <c r="H116" t="s">
        <v>1399</v>
      </c>
    </row>
    <row r="117" spans="1:8" x14ac:dyDescent="0.35">
      <c r="A117" t="s">
        <v>1515</v>
      </c>
      <c r="B117" t="s">
        <v>1057</v>
      </c>
      <c r="C117" t="s">
        <v>1394</v>
      </c>
      <c r="E117" s="2">
        <v>44923</v>
      </c>
      <c r="F117" s="2"/>
      <c r="H117" t="s">
        <v>1395</v>
      </c>
    </row>
    <row r="118" spans="1:8" x14ac:dyDescent="0.35">
      <c r="A118" t="s">
        <v>1516</v>
      </c>
      <c r="B118" t="s">
        <v>674</v>
      </c>
      <c r="C118" t="s">
        <v>1394</v>
      </c>
      <c r="E118" s="2">
        <v>45013</v>
      </c>
      <c r="F118" s="2"/>
      <c r="H118" t="s">
        <v>1395</v>
      </c>
    </row>
    <row r="119" spans="1:8" x14ac:dyDescent="0.35">
      <c r="A119" t="s">
        <v>1517</v>
      </c>
      <c r="B119" t="s">
        <v>1225</v>
      </c>
      <c r="C119" t="s">
        <v>1398</v>
      </c>
      <c r="D119">
        <v>5751.53</v>
      </c>
      <c r="E119" s="2">
        <v>45166</v>
      </c>
      <c r="F119" s="2">
        <v>45177</v>
      </c>
      <c r="G119">
        <v>11</v>
      </c>
      <c r="H119" t="s">
        <v>1399</v>
      </c>
    </row>
    <row r="120" spans="1:8" x14ac:dyDescent="0.35">
      <c r="A120" t="s">
        <v>1518</v>
      </c>
      <c r="B120" t="s">
        <v>533</v>
      </c>
      <c r="C120" t="s">
        <v>1394</v>
      </c>
      <c r="E120" s="2">
        <v>45471</v>
      </c>
      <c r="F120" s="2"/>
      <c r="H120" t="s">
        <v>1395</v>
      </c>
    </row>
    <row r="121" spans="1:8" x14ac:dyDescent="0.35">
      <c r="A121" t="s">
        <v>1519</v>
      </c>
      <c r="B121" t="s">
        <v>1236</v>
      </c>
      <c r="C121" t="s">
        <v>1398</v>
      </c>
      <c r="D121">
        <v>7179.82</v>
      </c>
      <c r="E121" s="2">
        <v>45593</v>
      </c>
      <c r="F121" s="2">
        <v>45594</v>
      </c>
      <c r="G121">
        <v>1</v>
      </c>
      <c r="H121" t="s">
        <v>1399</v>
      </c>
    </row>
    <row r="122" spans="1:8" x14ac:dyDescent="0.35">
      <c r="A122" t="s">
        <v>1520</v>
      </c>
      <c r="B122" t="s">
        <v>1135</v>
      </c>
      <c r="C122" t="s">
        <v>1398</v>
      </c>
      <c r="D122">
        <v>18990.77</v>
      </c>
      <c r="E122" s="2">
        <v>45593</v>
      </c>
      <c r="F122" s="2">
        <v>45603</v>
      </c>
      <c r="G122">
        <v>10</v>
      </c>
      <c r="H122" t="s">
        <v>1399</v>
      </c>
    </row>
    <row r="123" spans="1:8" x14ac:dyDescent="0.35">
      <c r="A123" t="s">
        <v>1521</v>
      </c>
      <c r="B123" t="s">
        <v>959</v>
      </c>
      <c r="C123" t="s">
        <v>1394</v>
      </c>
      <c r="E123" s="2">
        <v>44801</v>
      </c>
      <c r="F123" s="2"/>
      <c r="H123" t="s">
        <v>1395</v>
      </c>
    </row>
    <row r="124" spans="1:8" x14ac:dyDescent="0.35">
      <c r="A124" t="s">
        <v>1522</v>
      </c>
      <c r="B124" t="s">
        <v>990</v>
      </c>
      <c r="C124" t="s">
        <v>1401</v>
      </c>
      <c r="D124">
        <v>10053.129999999999</v>
      </c>
      <c r="E124" s="2">
        <v>44862</v>
      </c>
      <c r="F124" s="2">
        <v>44879</v>
      </c>
      <c r="G124">
        <v>17</v>
      </c>
      <c r="H124" t="s">
        <v>1399</v>
      </c>
    </row>
    <row r="125" spans="1:8" x14ac:dyDescent="0.35">
      <c r="A125" t="s">
        <v>1523</v>
      </c>
      <c r="B125" t="s">
        <v>818</v>
      </c>
      <c r="C125" t="s">
        <v>1401</v>
      </c>
      <c r="D125">
        <v>1857.09</v>
      </c>
      <c r="E125" s="2">
        <v>45410</v>
      </c>
      <c r="F125" s="2">
        <v>45410</v>
      </c>
      <c r="G125">
        <v>0</v>
      </c>
      <c r="H125" t="s">
        <v>1399</v>
      </c>
    </row>
    <row r="126" spans="1:8" x14ac:dyDescent="0.35">
      <c r="A126" t="s">
        <v>1524</v>
      </c>
      <c r="B126" t="s">
        <v>816</v>
      </c>
      <c r="C126" t="s">
        <v>1401</v>
      </c>
      <c r="D126">
        <v>39617.53</v>
      </c>
      <c r="E126" s="2">
        <v>45013</v>
      </c>
      <c r="F126" s="2">
        <v>45021</v>
      </c>
      <c r="G126">
        <v>8</v>
      </c>
      <c r="H126" t="s">
        <v>1399</v>
      </c>
    </row>
    <row r="127" spans="1:8" x14ac:dyDescent="0.35">
      <c r="A127" t="s">
        <v>1525</v>
      </c>
      <c r="B127" t="s">
        <v>1288</v>
      </c>
      <c r="C127" t="s">
        <v>1401</v>
      </c>
      <c r="D127">
        <v>20309.189999999999</v>
      </c>
      <c r="E127" s="2">
        <v>45258</v>
      </c>
      <c r="F127" s="2">
        <v>45270</v>
      </c>
      <c r="G127">
        <v>12</v>
      </c>
      <c r="H127" t="s">
        <v>1399</v>
      </c>
    </row>
    <row r="128" spans="1:8" x14ac:dyDescent="0.35">
      <c r="A128" t="s">
        <v>1526</v>
      </c>
      <c r="B128" t="s">
        <v>688</v>
      </c>
      <c r="C128" t="s">
        <v>1394</v>
      </c>
      <c r="E128" s="2">
        <v>45624</v>
      </c>
      <c r="F128" s="2"/>
      <c r="H128" t="s">
        <v>1395</v>
      </c>
    </row>
    <row r="129" spans="1:8" x14ac:dyDescent="0.35">
      <c r="A129" t="s">
        <v>1527</v>
      </c>
      <c r="B129" t="s">
        <v>654</v>
      </c>
      <c r="C129" t="s">
        <v>1401</v>
      </c>
      <c r="D129">
        <v>19622.04</v>
      </c>
      <c r="E129" s="2">
        <v>44770</v>
      </c>
      <c r="F129" s="2">
        <v>44777</v>
      </c>
      <c r="G129">
        <v>7</v>
      </c>
      <c r="H129" t="s">
        <v>1399</v>
      </c>
    </row>
    <row r="130" spans="1:8" x14ac:dyDescent="0.35">
      <c r="A130" t="s">
        <v>1528</v>
      </c>
      <c r="B130" t="s">
        <v>1207</v>
      </c>
      <c r="C130" t="s">
        <v>1398</v>
      </c>
      <c r="D130">
        <v>7265.87</v>
      </c>
      <c r="E130" s="2">
        <v>45197</v>
      </c>
      <c r="F130" s="2">
        <v>45198</v>
      </c>
      <c r="G130">
        <v>1</v>
      </c>
      <c r="H130" t="s">
        <v>1399</v>
      </c>
    </row>
    <row r="131" spans="1:8" x14ac:dyDescent="0.35">
      <c r="A131" t="s">
        <v>1529</v>
      </c>
      <c r="B131" t="s">
        <v>481</v>
      </c>
      <c r="C131" t="s">
        <v>1398</v>
      </c>
      <c r="E131" s="2">
        <v>44740</v>
      </c>
      <c r="F131" s="2">
        <v>44754</v>
      </c>
      <c r="G131">
        <v>14</v>
      </c>
      <c r="H131" t="s">
        <v>1435</v>
      </c>
    </row>
    <row r="132" spans="1:8" x14ac:dyDescent="0.35">
      <c r="A132" t="s">
        <v>1530</v>
      </c>
      <c r="B132" t="s">
        <v>505</v>
      </c>
      <c r="C132" t="s">
        <v>1394</v>
      </c>
      <c r="E132" s="2">
        <v>44648</v>
      </c>
      <c r="F132" s="2"/>
      <c r="H132" t="s">
        <v>1395</v>
      </c>
    </row>
    <row r="133" spans="1:8" x14ac:dyDescent="0.35">
      <c r="A133" t="s">
        <v>1531</v>
      </c>
      <c r="B133" t="s">
        <v>584</v>
      </c>
      <c r="C133" t="s">
        <v>1398</v>
      </c>
      <c r="D133">
        <v>19417.89</v>
      </c>
      <c r="E133" s="2">
        <v>44801</v>
      </c>
      <c r="F133" s="2">
        <v>44809</v>
      </c>
      <c r="G133">
        <v>8</v>
      </c>
      <c r="H133" t="s">
        <v>1399</v>
      </c>
    </row>
    <row r="134" spans="1:8" x14ac:dyDescent="0.35">
      <c r="A134" t="s">
        <v>1532</v>
      </c>
      <c r="B134" t="s">
        <v>1309</v>
      </c>
      <c r="C134" t="s">
        <v>1394</v>
      </c>
      <c r="E134" s="2">
        <v>44923</v>
      </c>
      <c r="F134" s="2"/>
      <c r="H134" t="s">
        <v>1395</v>
      </c>
    </row>
    <row r="135" spans="1:8" x14ac:dyDescent="0.35">
      <c r="A135" t="s">
        <v>1533</v>
      </c>
      <c r="B135" t="s">
        <v>1142</v>
      </c>
      <c r="C135" t="s">
        <v>1398</v>
      </c>
      <c r="D135">
        <v>13435.36</v>
      </c>
      <c r="E135" s="2">
        <v>45044</v>
      </c>
      <c r="F135" s="2">
        <v>45049</v>
      </c>
      <c r="G135">
        <v>5</v>
      </c>
      <c r="H135" t="s">
        <v>1399</v>
      </c>
    </row>
    <row r="136" spans="1:8" x14ac:dyDescent="0.35">
      <c r="A136" t="s">
        <v>1534</v>
      </c>
      <c r="B136" t="s">
        <v>396</v>
      </c>
      <c r="C136" t="s">
        <v>1394</v>
      </c>
      <c r="E136" s="2">
        <v>45288</v>
      </c>
      <c r="F136" s="2"/>
      <c r="H136" t="s">
        <v>1395</v>
      </c>
    </row>
    <row r="137" spans="1:8" x14ac:dyDescent="0.35">
      <c r="A137" t="s">
        <v>1535</v>
      </c>
      <c r="B137" t="s">
        <v>1284</v>
      </c>
      <c r="C137" t="s">
        <v>1401</v>
      </c>
      <c r="D137">
        <v>30686.639999999999</v>
      </c>
      <c r="E137" s="2">
        <v>45440</v>
      </c>
      <c r="F137" s="2">
        <v>45445</v>
      </c>
      <c r="G137">
        <v>5</v>
      </c>
      <c r="H137" t="s">
        <v>1399</v>
      </c>
    </row>
    <row r="138" spans="1:8" x14ac:dyDescent="0.35">
      <c r="A138" t="s">
        <v>1536</v>
      </c>
      <c r="B138" t="s">
        <v>989</v>
      </c>
      <c r="C138" t="s">
        <v>1398</v>
      </c>
      <c r="D138">
        <v>9825.5499999999993</v>
      </c>
      <c r="E138" s="2">
        <v>45350</v>
      </c>
      <c r="F138" s="2">
        <v>45357</v>
      </c>
      <c r="G138">
        <v>7</v>
      </c>
      <c r="H138" t="s">
        <v>1399</v>
      </c>
    </row>
    <row r="139" spans="1:8" x14ac:dyDescent="0.35">
      <c r="A139" t="s">
        <v>1537</v>
      </c>
      <c r="B139" t="s">
        <v>948</v>
      </c>
      <c r="C139" t="s">
        <v>1401</v>
      </c>
      <c r="D139">
        <v>27798.73</v>
      </c>
      <c r="E139" s="2">
        <v>45501</v>
      </c>
      <c r="F139" s="2">
        <v>45529</v>
      </c>
      <c r="G139">
        <v>28</v>
      </c>
      <c r="H139" t="s">
        <v>1399</v>
      </c>
    </row>
    <row r="140" spans="1:8" x14ac:dyDescent="0.35">
      <c r="A140" t="s">
        <v>1538</v>
      </c>
      <c r="B140" t="s">
        <v>690</v>
      </c>
      <c r="C140" t="s">
        <v>1398</v>
      </c>
      <c r="D140">
        <v>17464.16</v>
      </c>
      <c r="E140" s="2">
        <v>44832</v>
      </c>
      <c r="F140" s="2">
        <v>44833</v>
      </c>
      <c r="G140">
        <v>1</v>
      </c>
      <c r="H140" t="s">
        <v>1399</v>
      </c>
    </row>
    <row r="141" spans="1:8" x14ac:dyDescent="0.35">
      <c r="A141" t="s">
        <v>1539</v>
      </c>
      <c r="B141" t="s">
        <v>954</v>
      </c>
      <c r="C141" t="s">
        <v>1398</v>
      </c>
      <c r="D141">
        <v>14580.39</v>
      </c>
      <c r="E141" s="2">
        <v>44589</v>
      </c>
      <c r="F141" s="2">
        <v>44654</v>
      </c>
      <c r="G141">
        <v>65</v>
      </c>
      <c r="H141" t="s">
        <v>1399</v>
      </c>
    </row>
    <row r="142" spans="1:8" x14ac:dyDescent="0.35">
      <c r="A142" t="s">
        <v>1540</v>
      </c>
      <c r="B142" t="s">
        <v>1340</v>
      </c>
      <c r="C142" t="s">
        <v>1394</v>
      </c>
      <c r="E142" s="2">
        <v>45654</v>
      </c>
      <c r="F142" s="2"/>
      <c r="H142" t="s">
        <v>1395</v>
      </c>
    </row>
    <row r="143" spans="1:8" x14ac:dyDescent="0.35">
      <c r="A143" t="s">
        <v>1541</v>
      </c>
      <c r="B143" t="s">
        <v>455</v>
      </c>
      <c r="C143" t="s">
        <v>1401</v>
      </c>
      <c r="D143">
        <v>12695.54</v>
      </c>
      <c r="E143" s="2">
        <v>44985</v>
      </c>
      <c r="F143" s="2">
        <v>44992</v>
      </c>
      <c r="G143">
        <v>7</v>
      </c>
      <c r="H143" t="s">
        <v>1399</v>
      </c>
    </row>
    <row r="144" spans="1:8" x14ac:dyDescent="0.35">
      <c r="A144" t="s">
        <v>1542</v>
      </c>
      <c r="B144" t="s">
        <v>1240</v>
      </c>
      <c r="C144" t="s">
        <v>1398</v>
      </c>
      <c r="D144">
        <v>19518.43</v>
      </c>
      <c r="E144" s="2">
        <v>44709</v>
      </c>
      <c r="F144" s="2"/>
      <c r="H144" t="s">
        <v>1416</v>
      </c>
    </row>
    <row r="145" spans="1:8" x14ac:dyDescent="0.35">
      <c r="A145" t="s">
        <v>1543</v>
      </c>
      <c r="B145" t="s">
        <v>793</v>
      </c>
      <c r="C145" t="s">
        <v>1401</v>
      </c>
      <c r="D145">
        <v>31509.26</v>
      </c>
      <c r="E145" s="2">
        <v>45197</v>
      </c>
      <c r="F145" s="2">
        <v>45214</v>
      </c>
      <c r="G145">
        <v>17</v>
      </c>
      <c r="H145" t="s">
        <v>1399</v>
      </c>
    </row>
    <row r="146" spans="1:8" x14ac:dyDescent="0.35">
      <c r="A146" t="s">
        <v>1544</v>
      </c>
      <c r="B146" t="s">
        <v>512</v>
      </c>
      <c r="C146" t="s">
        <v>1398</v>
      </c>
      <c r="D146">
        <v>4838.5200000000004</v>
      </c>
      <c r="E146" s="2">
        <v>44679</v>
      </c>
      <c r="F146" s="2">
        <v>44747</v>
      </c>
      <c r="G146">
        <v>68</v>
      </c>
      <c r="H146" t="s">
        <v>1399</v>
      </c>
    </row>
    <row r="147" spans="1:8" x14ac:dyDescent="0.35">
      <c r="A147" t="s">
        <v>1545</v>
      </c>
      <c r="B147" t="s">
        <v>680</v>
      </c>
      <c r="C147" t="s">
        <v>1401</v>
      </c>
      <c r="D147">
        <v>22739.64</v>
      </c>
      <c r="E147" s="2">
        <v>44589</v>
      </c>
      <c r="F147" s="2">
        <v>44602</v>
      </c>
      <c r="G147">
        <v>13</v>
      </c>
      <c r="H147" t="s">
        <v>1399</v>
      </c>
    </row>
    <row r="148" spans="1:8" x14ac:dyDescent="0.35">
      <c r="A148" t="s">
        <v>1546</v>
      </c>
      <c r="B148" t="s">
        <v>1182</v>
      </c>
      <c r="C148" t="s">
        <v>1394</v>
      </c>
      <c r="E148" s="2">
        <v>44740</v>
      </c>
      <c r="F148" s="2"/>
      <c r="H148" t="s">
        <v>1395</v>
      </c>
    </row>
    <row r="149" spans="1:8" x14ac:dyDescent="0.35">
      <c r="A149" t="s">
        <v>1547</v>
      </c>
      <c r="B149" t="s">
        <v>721</v>
      </c>
      <c r="C149" t="s">
        <v>1401</v>
      </c>
      <c r="D149">
        <v>31337.14</v>
      </c>
      <c r="E149" s="2">
        <v>44862</v>
      </c>
      <c r="F149" s="2">
        <v>44896</v>
      </c>
      <c r="G149">
        <v>34</v>
      </c>
      <c r="H149" t="s">
        <v>1399</v>
      </c>
    </row>
    <row r="150" spans="1:8" x14ac:dyDescent="0.35">
      <c r="A150" t="s">
        <v>1548</v>
      </c>
      <c r="B150" t="s">
        <v>918</v>
      </c>
      <c r="C150" t="s">
        <v>1401</v>
      </c>
      <c r="D150">
        <v>25335.15</v>
      </c>
      <c r="E150" s="2">
        <v>45350</v>
      </c>
      <c r="F150" s="2">
        <v>45354</v>
      </c>
      <c r="G150">
        <v>4</v>
      </c>
      <c r="H150" t="s">
        <v>1399</v>
      </c>
    </row>
    <row r="151" spans="1:8" x14ac:dyDescent="0.35">
      <c r="A151" t="s">
        <v>1549</v>
      </c>
      <c r="B151" t="s">
        <v>1369</v>
      </c>
      <c r="C151" t="s">
        <v>1394</v>
      </c>
      <c r="E151" s="2">
        <v>45197</v>
      </c>
      <c r="F151" s="2"/>
      <c r="H151" t="s">
        <v>1395</v>
      </c>
    </row>
    <row r="152" spans="1:8" x14ac:dyDescent="0.35">
      <c r="A152" t="s">
        <v>1550</v>
      </c>
      <c r="B152" t="s">
        <v>517</v>
      </c>
      <c r="C152" t="s">
        <v>1394</v>
      </c>
      <c r="E152" s="2">
        <v>44709</v>
      </c>
      <c r="F152" s="2"/>
      <c r="H152" t="s">
        <v>1395</v>
      </c>
    </row>
    <row r="153" spans="1:8" x14ac:dyDescent="0.35">
      <c r="A153" t="s">
        <v>1551</v>
      </c>
      <c r="B153" t="s">
        <v>415</v>
      </c>
      <c r="C153" t="s">
        <v>1398</v>
      </c>
      <c r="E153" s="2">
        <v>44801</v>
      </c>
      <c r="F153" s="2"/>
      <c r="H153" t="s">
        <v>1416</v>
      </c>
    </row>
    <row r="154" spans="1:8" x14ac:dyDescent="0.35">
      <c r="A154" t="s">
        <v>1552</v>
      </c>
      <c r="B154" t="s">
        <v>1175</v>
      </c>
      <c r="C154" t="s">
        <v>1394</v>
      </c>
      <c r="E154" s="2">
        <v>44589</v>
      </c>
      <c r="F154" s="2"/>
      <c r="H154" t="s">
        <v>1395</v>
      </c>
    </row>
    <row r="155" spans="1:8" x14ac:dyDescent="0.35">
      <c r="A155" t="s">
        <v>1553</v>
      </c>
      <c r="B155" t="s">
        <v>936</v>
      </c>
      <c r="C155" t="s">
        <v>1401</v>
      </c>
      <c r="D155">
        <v>34466.089999999997</v>
      </c>
      <c r="E155" s="2">
        <v>45258</v>
      </c>
      <c r="F155" s="2">
        <v>45268</v>
      </c>
      <c r="G155">
        <v>10</v>
      </c>
      <c r="H155" t="s">
        <v>1399</v>
      </c>
    </row>
    <row r="156" spans="1:8" x14ac:dyDescent="0.35">
      <c r="A156" t="s">
        <v>1554</v>
      </c>
      <c r="B156" t="s">
        <v>863</v>
      </c>
      <c r="C156" t="s">
        <v>1394</v>
      </c>
      <c r="E156" s="2">
        <v>45440</v>
      </c>
      <c r="F156" s="2"/>
      <c r="H156" t="s">
        <v>1395</v>
      </c>
    </row>
    <row r="157" spans="1:8" x14ac:dyDescent="0.35">
      <c r="A157" t="s">
        <v>1555</v>
      </c>
      <c r="B157" t="s">
        <v>1291</v>
      </c>
      <c r="C157" t="s">
        <v>1401</v>
      </c>
      <c r="D157">
        <v>35838.870000000003</v>
      </c>
      <c r="E157" s="2">
        <v>45532</v>
      </c>
      <c r="F157" s="2">
        <v>45533</v>
      </c>
      <c r="G157">
        <v>1</v>
      </c>
      <c r="H157" t="s">
        <v>1399</v>
      </c>
    </row>
    <row r="158" spans="1:8" x14ac:dyDescent="0.35">
      <c r="A158" t="s">
        <v>1556</v>
      </c>
      <c r="B158" t="s">
        <v>1200</v>
      </c>
      <c r="C158" t="s">
        <v>1394</v>
      </c>
      <c r="E158" s="2">
        <v>44893</v>
      </c>
      <c r="F158" s="2"/>
      <c r="H158" t="s">
        <v>1395</v>
      </c>
    </row>
    <row r="159" spans="1:8" x14ac:dyDescent="0.35">
      <c r="A159" t="s">
        <v>1557</v>
      </c>
      <c r="B159" t="s">
        <v>449</v>
      </c>
      <c r="C159" t="s">
        <v>1401</v>
      </c>
      <c r="D159">
        <v>12386.72</v>
      </c>
      <c r="E159" s="2">
        <v>45074</v>
      </c>
      <c r="F159" s="2">
        <v>45106</v>
      </c>
      <c r="G159">
        <v>32</v>
      </c>
      <c r="H159" t="s">
        <v>1399</v>
      </c>
    </row>
    <row r="160" spans="1:8" x14ac:dyDescent="0.35">
      <c r="A160" t="s">
        <v>1558</v>
      </c>
      <c r="B160" t="s">
        <v>925</v>
      </c>
      <c r="C160" t="s">
        <v>1394</v>
      </c>
      <c r="E160" s="2">
        <v>45624</v>
      </c>
      <c r="F160" s="2"/>
      <c r="H160" t="s">
        <v>1395</v>
      </c>
    </row>
    <row r="161" spans="1:8" x14ac:dyDescent="0.35">
      <c r="A161" t="s">
        <v>1559</v>
      </c>
      <c r="B161" t="s">
        <v>1385</v>
      </c>
      <c r="C161" t="s">
        <v>1398</v>
      </c>
      <c r="D161">
        <v>17242.900000000001</v>
      </c>
      <c r="E161" s="2">
        <v>45258</v>
      </c>
      <c r="F161" s="2">
        <v>45274</v>
      </c>
      <c r="G161">
        <v>16</v>
      </c>
      <c r="H161" t="s">
        <v>1399</v>
      </c>
    </row>
    <row r="162" spans="1:8" x14ac:dyDescent="0.35">
      <c r="A162" t="s">
        <v>1560</v>
      </c>
      <c r="B162" t="s">
        <v>1113</v>
      </c>
      <c r="C162" t="s">
        <v>1398</v>
      </c>
      <c r="E162" s="2">
        <v>45532</v>
      </c>
      <c r="F162" s="2">
        <v>45535</v>
      </c>
      <c r="G162">
        <v>3</v>
      </c>
      <c r="H162" t="s">
        <v>1435</v>
      </c>
    </row>
    <row r="163" spans="1:8" x14ac:dyDescent="0.35">
      <c r="A163" t="s">
        <v>1561</v>
      </c>
      <c r="B163" t="s">
        <v>1028</v>
      </c>
      <c r="C163" t="s">
        <v>1398</v>
      </c>
      <c r="D163">
        <v>6816.81</v>
      </c>
      <c r="E163" s="2">
        <v>45410</v>
      </c>
      <c r="F163" s="2">
        <v>45496</v>
      </c>
      <c r="G163">
        <v>86</v>
      </c>
      <c r="H163" t="s">
        <v>1399</v>
      </c>
    </row>
    <row r="164" spans="1:8" x14ac:dyDescent="0.35">
      <c r="A164" t="s">
        <v>1562</v>
      </c>
      <c r="B164" t="s">
        <v>1119</v>
      </c>
      <c r="C164" t="s">
        <v>1398</v>
      </c>
      <c r="D164">
        <v>6348.02</v>
      </c>
      <c r="E164" s="2">
        <v>45044</v>
      </c>
      <c r="F164" s="2"/>
      <c r="H164" t="s">
        <v>1416</v>
      </c>
    </row>
    <row r="165" spans="1:8" x14ac:dyDescent="0.35">
      <c r="A165" t="s">
        <v>1563</v>
      </c>
      <c r="B165" t="s">
        <v>382</v>
      </c>
      <c r="C165" t="s">
        <v>1394</v>
      </c>
      <c r="E165" s="2">
        <v>44801</v>
      </c>
      <c r="F165" s="2"/>
      <c r="H165" t="s">
        <v>1395</v>
      </c>
    </row>
    <row r="166" spans="1:8" x14ac:dyDescent="0.35">
      <c r="A166" t="s">
        <v>1564</v>
      </c>
      <c r="B166" t="s">
        <v>427</v>
      </c>
      <c r="C166" t="s">
        <v>1401</v>
      </c>
      <c r="D166">
        <v>21063.8</v>
      </c>
      <c r="E166" s="2">
        <v>45319</v>
      </c>
      <c r="F166" s="2">
        <v>45330</v>
      </c>
      <c r="G166">
        <v>11</v>
      </c>
      <c r="H166" t="s">
        <v>1399</v>
      </c>
    </row>
    <row r="167" spans="1:8" x14ac:dyDescent="0.35">
      <c r="A167" t="s">
        <v>1565</v>
      </c>
      <c r="B167" t="s">
        <v>426</v>
      </c>
      <c r="C167" t="s">
        <v>1398</v>
      </c>
      <c r="D167">
        <v>8584.82</v>
      </c>
      <c r="E167" s="2">
        <v>44740</v>
      </c>
      <c r="F167" s="2"/>
      <c r="H167" t="s">
        <v>1416</v>
      </c>
    </row>
    <row r="168" spans="1:8" x14ac:dyDescent="0.35">
      <c r="A168" t="s">
        <v>1566</v>
      </c>
      <c r="B168" t="s">
        <v>1180</v>
      </c>
      <c r="C168" t="s">
        <v>1401</v>
      </c>
      <c r="D168">
        <v>30350.46</v>
      </c>
      <c r="E168" s="2">
        <v>45654</v>
      </c>
      <c r="F168" s="2">
        <v>45731</v>
      </c>
      <c r="G168">
        <v>77</v>
      </c>
      <c r="H168" t="s">
        <v>1399</v>
      </c>
    </row>
    <row r="169" spans="1:8" x14ac:dyDescent="0.35">
      <c r="A169" t="s">
        <v>1567</v>
      </c>
      <c r="B169" t="s">
        <v>926</v>
      </c>
      <c r="C169" t="s">
        <v>1398</v>
      </c>
      <c r="E169" s="2">
        <v>45197</v>
      </c>
      <c r="F169" s="2">
        <v>45208</v>
      </c>
      <c r="G169">
        <v>11</v>
      </c>
      <c r="H169" t="s">
        <v>1435</v>
      </c>
    </row>
    <row r="170" spans="1:8" x14ac:dyDescent="0.35">
      <c r="A170" t="s">
        <v>1568</v>
      </c>
      <c r="B170" t="s">
        <v>1054</v>
      </c>
      <c r="C170" t="s">
        <v>1398</v>
      </c>
      <c r="D170">
        <v>17788.34</v>
      </c>
      <c r="E170" s="2">
        <v>45258</v>
      </c>
      <c r="F170" s="2"/>
      <c r="H170" t="s">
        <v>1416</v>
      </c>
    </row>
    <row r="171" spans="1:8" x14ac:dyDescent="0.35">
      <c r="A171" t="s">
        <v>1569</v>
      </c>
      <c r="B171" t="s">
        <v>519</v>
      </c>
      <c r="C171" t="s">
        <v>1394</v>
      </c>
      <c r="E171" s="2">
        <v>45532</v>
      </c>
      <c r="F171" s="2"/>
      <c r="H171" t="s">
        <v>1395</v>
      </c>
    </row>
    <row r="172" spans="1:8" x14ac:dyDescent="0.35">
      <c r="A172" t="s">
        <v>1570</v>
      </c>
      <c r="B172" t="s">
        <v>1361</v>
      </c>
      <c r="C172" t="s">
        <v>1401</v>
      </c>
      <c r="D172">
        <v>34674.35</v>
      </c>
      <c r="E172" s="2">
        <v>44893</v>
      </c>
      <c r="F172" s="2">
        <v>44983</v>
      </c>
      <c r="G172">
        <v>90</v>
      </c>
      <c r="H172" t="s">
        <v>1399</v>
      </c>
    </row>
    <row r="173" spans="1:8" x14ac:dyDescent="0.35">
      <c r="A173" t="s">
        <v>1571</v>
      </c>
      <c r="B173" t="s">
        <v>987</v>
      </c>
      <c r="C173" t="s">
        <v>1401</v>
      </c>
      <c r="D173">
        <v>27966.25</v>
      </c>
      <c r="E173" s="2">
        <v>44985</v>
      </c>
      <c r="F173" s="2">
        <v>44997</v>
      </c>
      <c r="G173">
        <v>12</v>
      </c>
      <c r="H173" t="s">
        <v>1399</v>
      </c>
    </row>
    <row r="174" spans="1:8" x14ac:dyDescent="0.35">
      <c r="A174" t="s">
        <v>1572</v>
      </c>
      <c r="B174" t="s">
        <v>872</v>
      </c>
      <c r="C174" t="s">
        <v>1394</v>
      </c>
      <c r="E174" s="2">
        <v>45166</v>
      </c>
      <c r="F174" s="2"/>
      <c r="H174" t="s">
        <v>1395</v>
      </c>
    </row>
    <row r="175" spans="1:8" x14ac:dyDescent="0.35">
      <c r="A175" t="s">
        <v>1573</v>
      </c>
      <c r="B175" t="s">
        <v>1281</v>
      </c>
      <c r="C175" t="s">
        <v>1401</v>
      </c>
      <c r="D175">
        <v>22669.26</v>
      </c>
      <c r="E175" s="2">
        <v>45166</v>
      </c>
      <c r="F175" s="2">
        <v>45168</v>
      </c>
      <c r="G175">
        <v>2</v>
      </c>
      <c r="H175" t="s">
        <v>1399</v>
      </c>
    </row>
    <row r="176" spans="1:8" x14ac:dyDescent="0.35">
      <c r="A176" t="s">
        <v>1574</v>
      </c>
      <c r="B176" t="s">
        <v>526</v>
      </c>
      <c r="C176" t="s">
        <v>1398</v>
      </c>
      <c r="D176">
        <v>4241.88</v>
      </c>
      <c r="E176" s="2">
        <v>44770</v>
      </c>
      <c r="F176" s="2">
        <v>44789</v>
      </c>
      <c r="G176">
        <v>19</v>
      </c>
      <c r="H176" t="s">
        <v>1399</v>
      </c>
    </row>
    <row r="177" spans="1:8" x14ac:dyDescent="0.35">
      <c r="A177" t="s">
        <v>1575</v>
      </c>
      <c r="B177" t="s">
        <v>622</v>
      </c>
      <c r="C177" t="s">
        <v>1398</v>
      </c>
      <c r="D177">
        <v>19264.53</v>
      </c>
      <c r="E177" s="2">
        <v>45288</v>
      </c>
      <c r="F177" s="2">
        <v>45304</v>
      </c>
      <c r="G177">
        <v>16</v>
      </c>
      <c r="H177" t="s">
        <v>1399</v>
      </c>
    </row>
    <row r="178" spans="1:8" x14ac:dyDescent="0.35">
      <c r="A178" t="s">
        <v>1576</v>
      </c>
      <c r="B178" t="s">
        <v>580</v>
      </c>
      <c r="C178" t="s">
        <v>1398</v>
      </c>
      <c r="D178">
        <v>550.85</v>
      </c>
      <c r="E178" s="2">
        <v>45563</v>
      </c>
      <c r="F178" s="2">
        <v>45568</v>
      </c>
      <c r="G178">
        <v>5</v>
      </c>
      <c r="H178" t="s">
        <v>1399</v>
      </c>
    </row>
    <row r="179" spans="1:8" x14ac:dyDescent="0.35">
      <c r="A179" t="s">
        <v>1577</v>
      </c>
      <c r="B179" t="s">
        <v>514</v>
      </c>
      <c r="C179" t="s">
        <v>1394</v>
      </c>
      <c r="E179" s="2">
        <v>45044</v>
      </c>
      <c r="F179" s="2"/>
      <c r="H179" t="s">
        <v>1395</v>
      </c>
    </row>
    <row r="180" spans="1:8" x14ac:dyDescent="0.35">
      <c r="A180" t="s">
        <v>1578</v>
      </c>
      <c r="B180" t="s">
        <v>696</v>
      </c>
      <c r="C180" t="s">
        <v>1398</v>
      </c>
      <c r="D180">
        <v>14590.34</v>
      </c>
      <c r="E180" s="2">
        <v>44709</v>
      </c>
      <c r="F180" s="2"/>
      <c r="H180" t="s">
        <v>1416</v>
      </c>
    </row>
    <row r="181" spans="1:8" x14ac:dyDescent="0.35">
      <c r="A181" t="s">
        <v>1579</v>
      </c>
      <c r="B181" t="s">
        <v>614</v>
      </c>
      <c r="C181" t="s">
        <v>1401</v>
      </c>
      <c r="D181">
        <v>17007.72</v>
      </c>
      <c r="E181" s="2">
        <v>45227</v>
      </c>
      <c r="F181" s="2">
        <v>45242</v>
      </c>
      <c r="G181">
        <v>15</v>
      </c>
      <c r="H181" t="s">
        <v>1399</v>
      </c>
    </row>
    <row r="182" spans="1:8" x14ac:dyDescent="0.35">
      <c r="A182" t="s">
        <v>1580</v>
      </c>
      <c r="B182" t="s">
        <v>749</v>
      </c>
      <c r="C182" t="s">
        <v>1398</v>
      </c>
      <c r="D182">
        <v>8630.32</v>
      </c>
      <c r="E182" s="2">
        <v>45227</v>
      </c>
      <c r="F182" s="2">
        <v>45229</v>
      </c>
      <c r="G182">
        <v>2</v>
      </c>
      <c r="H182" t="s">
        <v>1399</v>
      </c>
    </row>
    <row r="183" spans="1:8" x14ac:dyDescent="0.35">
      <c r="A183" t="s">
        <v>1581</v>
      </c>
      <c r="B183" t="s">
        <v>607</v>
      </c>
      <c r="C183" t="s">
        <v>1401</v>
      </c>
      <c r="D183">
        <v>16526.349999999999</v>
      </c>
      <c r="E183" s="2">
        <v>44801</v>
      </c>
      <c r="F183" s="2">
        <v>44815</v>
      </c>
      <c r="G183">
        <v>14</v>
      </c>
      <c r="H183" t="s">
        <v>1399</v>
      </c>
    </row>
    <row r="184" spans="1:8" x14ac:dyDescent="0.35">
      <c r="A184" t="s">
        <v>1582</v>
      </c>
      <c r="B184" t="s">
        <v>705</v>
      </c>
      <c r="C184" t="s">
        <v>1394</v>
      </c>
      <c r="E184" s="2">
        <v>45135</v>
      </c>
      <c r="F184" s="2"/>
      <c r="H184" t="s">
        <v>1395</v>
      </c>
    </row>
    <row r="185" spans="1:8" x14ac:dyDescent="0.35">
      <c r="A185" t="s">
        <v>1583</v>
      </c>
      <c r="B185" t="s">
        <v>1368</v>
      </c>
      <c r="C185" t="s">
        <v>1401</v>
      </c>
      <c r="D185">
        <v>17000.13</v>
      </c>
      <c r="E185" s="2">
        <v>45410</v>
      </c>
      <c r="F185" s="2">
        <v>45415</v>
      </c>
      <c r="G185">
        <v>5</v>
      </c>
      <c r="H185" t="s">
        <v>1399</v>
      </c>
    </row>
    <row r="186" spans="1:8" x14ac:dyDescent="0.35">
      <c r="A186" t="s">
        <v>1584</v>
      </c>
      <c r="B186" t="s">
        <v>662</v>
      </c>
      <c r="C186" t="s">
        <v>1398</v>
      </c>
      <c r="E186" s="2">
        <v>44985</v>
      </c>
      <c r="F186" s="2">
        <v>45000</v>
      </c>
      <c r="G186">
        <v>15</v>
      </c>
      <c r="H186" t="s">
        <v>1435</v>
      </c>
    </row>
    <row r="187" spans="1:8" x14ac:dyDescent="0.35">
      <c r="A187" t="s">
        <v>1585</v>
      </c>
      <c r="B187" t="s">
        <v>1159</v>
      </c>
      <c r="C187" t="s">
        <v>1394</v>
      </c>
      <c r="E187" s="2">
        <v>44620</v>
      </c>
      <c r="F187" s="2"/>
      <c r="H187" t="s">
        <v>1395</v>
      </c>
    </row>
    <row r="188" spans="1:8" x14ac:dyDescent="0.35">
      <c r="A188" t="s">
        <v>1586</v>
      </c>
      <c r="B188" t="s">
        <v>562</v>
      </c>
      <c r="C188" t="s">
        <v>1394</v>
      </c>
      <c r="E188" s="2">
        <v>45197</v>
      </c>
      <c r="F188" s="2"/>
      <c r="H188" t="s">
        <v>1395</v>
      </c>
    </row>
    <row r="189" spans="1:8" x14ac:dyDescent="0.35">
      <c r="A189" t="s">
        <v>1587</v>
      </c>
      <c r="B189" t="s">
        <v>536</v>
      </c>
      <c r="C189" t="s">
        <v>1401</v>
      </c>
      <c r="D189">
        <v>20321.29</v>
      </c>
      <c r="E189" s="2">
        <v>45258</v>
      </c>
      <c r="F189" s="2">
        <v>45268</v>
      </c>
      <c r="G189">
        <v>10</v>
      </c>
      <c r="H189" t="s">
        <v>1399</v>
      </c>
    </row>
    <row r="190" spans="1:8" x14ac:dyDescent="0.35">
      <c r="A190" t="s">
        <v>1588</v>
      </c>
      <c r="B190" t="s">
        <v>1060</v>
      </c>
      <c r="C190" t="s">
        <v>1394</v>
      </c>
      <c r="E190" s="2">
        <v>44648</v>
      </c>
      <c r="F190" s="2"/>
      <c r="H190" t="s">
        <v>1395</v>
      </c>
    </row>
    <row r="191" spans="1:8" x14ac:dyDescent="0.35">
      <c r="A191" t="s">
        <v>1589</v>
      </c>
      <c r="B191" t="s">
        <v>1215</v>
      </c>
      <c r="C191" t="s">
        <v>1401</v>
      </c>
      <c r="D191">
        <v>10657.03</v>
      </c>
      <c r="E191" s="2">
        <v>44620</v>
      </c>
      <c r="F191" s="2">
        <v>44621</v>
      </c>
      <c r="G191">
        <v>1</v>
      </c>
      <c r="H191" t="s">
        <v>1399</v>
      </c>
    </row>
    <row r="192" spans="1:8" x14ac:dyDescent="0.35">
      <c r="A192" t="s">
        <v>1590</v>
      </c>
      <c r="B192" t="s">
        <v>1194</v>
      </c>
      <c r="C192" t="s">
        <v>1394</v>
      </c>
      <c r="E192" s="2">
        <v>45074</v>
      </c>
      <c r="F192" s="2"/>
      <c r="H192" t="s">
        <v>1395</v>
      </c>
    </row>
    <row r="193" spans="1:8" x14ac:dyDescent="0.35">
      <c r="A193" t="s">
        <v>1591</v>
      </c>
      <c r="B193" t="s">
        <v>742</v>
      </c>
      <c r="C193" t="s">
        <v>1398</v>
      </c>
      <c r="E193" s="2">
        <v>45350</v>
      </c>
      <c r="F193" s="2"/>
      <c r="H193" t="s">
        <v>1416</v>
      </c>
    </row>
    <row r="194" spans="1:8" x14ac:dyDescent="0.35">
      <c r="A194" t="s">
        <v>1592</v>
      </c>
      <c r="B194" t="s">
        <v>1294</v>
      </c>
      <c r="C194" t="s">
        <v>1401</v>
      </c>
      <c r="D194">
        <v>13630.23</v>
      </c>
      <c r="E194" s="2">
        <v>45044</v>
      </c>
      <c r="F194" s="2">
        <v>45071</v>
      </c>
      <c r="G194">
        <v>27</v>
      </c>
      <c r="H194" t="s">
        <v>1399</v>
      </c>
    </row>
    <row r="195" spans="1:8" x14ac:dyDescent="0.35">
      <c r="A195" t="s">
        <v>1593</v>
      </c>
      <c r="B195" t="s">
        <v>574</v>
      </c>
      <c r="C195" t="s">
        <v>1394</v>
      </c>
      <c r="E195" s="2">
        <v>45135</v>
      </c>
      <c r="F195" s="2"/>
      <c r="H195" t="s">
        <v>1395</v>
      </c>
    </row>
    <row r="196" spans="1:8" x14ac:dyDescent="0.35">
      <c r="A196" t="s">
        <v>1594</v>
      </c>
      <c r="B196" t="s">
        <v>440</v>
      </c>
      <c r="C196" t="s">
        <v>1394</v>
      </c>
      <c r="E196" s="2">
        <v>44893</v>
      </c>
      <c r="F196" s="2"/>
      <c r="H196" t="s">
        <v>1395</v>
      </c>
    </row>
    <row r="197" spans="1:8" x14ac:dyDescent="0.35">
      <c r="A197" t="s">
        <v>1595</v>
      </c>
      <c r="B197" t="s">
        <v>485</v>
      </c>
      <c r="C197" t="s">
        <v>1394</v>
      </c>
      <c r="E197" s="2">
        <v>45105</v>
      </c>
      <c r="F197" s="2"/>
      <c r="H197" t="s">
        <v>1395</v>
      </c>
    </row>
    <row r="198" spans="1:8" x14ac:dyDescent="0.35">
      <c r="A198" t="s">
        <v>1596</v>
      </c>
      <c r="B198" t="s">
        <v>1312</v>
      </c>
      <c r="C198" t="s">
        <v>1398</v>
      </c>
      <c r="D198">
        <v>17056.57</v>
      </c>
      <c r="E198" s="2">
        <v>45258</v>
      </c>
      <c r="F198" s="2">
        <v>45261</v>
      </c>
      <c r="G198">
        <v>3</v>
      </c>
      <c r="H198" t="s">
        <v>1399</v>
      </c>
    </row>
    <row r="199" spans="1:8" x14ac:dyDescent="0.35">
      <c r="A199" t="s">
        <v>1597</v>
      </c>
      <c r="B199" t="s">
        <v>563</v>
      </c>
      <c r="C199" t="s">
        <v>1398</v>
      </c>
      <c r="D199">
        <v>2630.38</v>
      </c>
      <c r="E199" s="2">
        <v>45258</v>
      </c>
      <c r="F199" s="2"/>
      <c r="H199" t="s">
        <v>1416</v>
      </c>
    </row>
    <row r="200" spans="1:8" x14ac:dyDescent="0.35">
      <c r="A200" t="s">
        <v>1598</v>
      </c>
      <c r="B200" t="s">
        <v>904</v>
      </c>
      <c r="C200" t="s">
        <v>1394</v>
      </c>
      <c r="E200" s="2">
        <v>44770</v>
      </c>
      <c r="F200" s="2"/>
      <c r="H200" t="s">
        <v>1395</v>
      </c>
    </row>
    <row r="201" spans="1:8" x14ac:dyDescent="0.35">
      <c r="A201" t="s">
        <v>1599</v>
      </c>
      <c r="B201" t="s">
        <v>834</v>
      </c>
      <c r="C201" t="s">
        <v>1394</v>
      </c>
      <c r="E201" s="2">
        <v>45258</v>
      </c>
      <c r="F201" s="2"/>
      <c r="H201" t="s">
        <v>1395</v>
      </c>
    </row>
    <row r="202" spans="1:8" x14ac:dyDescent="0.35">
      <c r="A202" t="s">
        <v>1600</v>
      </c>
      <c r="B202" t="s">
        <v>1378</v>
      </c>
      <c r="C202" t="s">
        <v>1394</v>
      </c>
      <c r="E202" s="2">
        <v>44801</v>
      </c>
      <c r="F202" s="2"/>
      <c r="H202" t="s">
        <v>1395</v>
      </c>
    </row>
    <row r="203" spans="1:8" x14ac:dyDescent="0.35">
      <c r="A203" t="s">
        <v>1601</v>
      </c>
      <c r="B203" t="s">
        <v>984</v>
      </c>
      <c r="C203" t="s">
        <v>1394</v>
      </c>
      <c r="E203" s="2">
        <v>45501</v>
      </c>
      <c r="F203" s="2"/>
      <c r="H203" t="s">
        <v>1395</v>
      </c>
    </row>
    <row r="204" spans="1:8" x14ac:dyDescent="0.35">
      <c r="A204" t="s">
        <v>1602</v>
      </c>
      <c r="B204" t="s">
        <v>1164</v>
      </c>
      <c r="C204" t="s">
        <v>1398</v>
      </c>
      <c r="D204">
        <v>5663.72</v>
      </c>
      <c r="E204" s="2">
        <v>44589</v>
      </c>
      <c r="F204" s="2">
        <v>44671</v>
      </c>
      <c r="G204">
        <v>82</v>
      </c>
      <c r="H204" t="s">
        <v>1399</v>
      </c>
    </row>
    <row r="205" spans="1:8" x14ac:dyDescent="0.35">
      <c r="A205" t="s">
        <v>1603</v>
      </c>
      <c r="B205" t="s">
        <v>1218</v>
      </c>
      <c r="C205" t="s">
        <v>1398</v>
      </c>
      <c r="D205">
        <v>14953.22</v>
      </c>
      <c r="E205" s="2">
        <v>44709</v>
      </c>
      <c r="F205" s="2">
        <v>44753</v>
      </c>
      <c r="G205">
        <v>44</v>
      </c>
      <c r="H205" t="s">
        <v>1399</v>
      </c>
    </row>
    <row r="206" spans="1:8" x14ac:dyDescent="0.35">
      <c r="A206" t="s">
        <v>1604</v>
      </c>
      <c r="B206" t="s">
        <v>697</v>
      </c>
      <c r="C206" t="s">
        <v>1398</v>
      </c>
      <c r="D206">
        <v>13627.99</v>
      </c>
      <c r="E206" s="2">
        <v>45350</v>
      </c>
      <c r="F206" s="2">
        <v>45395</v>
      </c>
      <c r="G206">
        <v>45</v>
      </c>
      <c r="H206" t="s">
        <v>1399</v>
      </c>
    </row>
    <row r="207" spans="1:8" x14ac:dyDescent="0.35">
      <c r="A207" t="s">
        <v>1605</v>
      </c>
      <c r="B207" t="s">
        <v>1044</v>
      </c>
      <c r="C207" t="s">
        <v>1394</v>
      </c>
      <c r="E207" s="2">
        <v>45501</v>
      </c>
      <c r="F207" s="2"/>
      <c r="H207" t="s">
        <v>1395</v>
      </c>
    </row>
    <row r="208" spans="1:8" x14ac:dyDescent="0.35">
      <c r="A208" t="s">
        <v>1606</v>
      </c>
      <c r="B208" t="s">
        <v>969</v>
      </c>
      <c r="C208" t="s">
        <v>1394</v>
      </c>
      <c r="E208" s="2">
        <v>45593</v>
      </c>
      <c r="F208" s="2"/>
      <c r="H208" t="s">
        <v>1395</v>
      </c>
    </row>
    <row r="209" spans="1:8" x14ac:dyDescent="0.35">
      <c r="A209" t="s">
        <v>1607</v>
      </c>
      <c r="B209" t="s">
        <v>1188</v>
      </c>
      <c r="C209" t="s">
        <v>1401</v>
      </c>
      <c r="D209">
        <v>28274.22</v>
      </c>
      <c r="E209" s="2">
        <v>45501</v>
      </c>
      <c r="F209" s="2">
        <v>45546</v>
      </c>
      <c r="G209">
        <v>45</v>
      </c>
      <c r="H209" t="s">
        <v>1399</v>
      </c>
    </row>
    <row r="210" spans="1:8" x14ac:dyDescent="0.35">
      <c r="A210" t="s">
        <v>1608</v>
      </c>
      <c r="B210" t="s">
        <v>1357</v>
      </c>
      <c r="C210" t="s">
        <v>1398</v>
      </c>
      <c r="D210">
        <v>13832.17</v>
      </c>
      <c r="E210" s="2">
        <v>44954</v>
      </c>
      <c r="F210" s="2">
        <v>44960</v>
      </c>
      <c r="G210">
        <v>6</v>
      </c>
      <c r="H210" t="s">
        <v>1399</v>
      </c>
    </row>
    <row r="211" spans="1:8" x14ac:dyDescent="0.35">
      <c r="A211" t="s">
        <v>1609</v>
      </c>
      <c r="B211" t="s">
        <v>1085</v>
      </c>
      <c r="C211" t="s">
        <v>1398</v>
      </c>
      <c r="E211" s="2">
        <v>45379</v>
      </c>
      <c r="F211" s="2">
        <v>45412</v>
      </c>
      <c r="G211">
        <v>33</v>
      </c>
      <c r="H211" t="s">
        <v>1435</v>
      </c>
    </row>
    <row r="212" spans="1:8" x14ac:dyDescent="0.35">
      <c r="A212" t="s">
        <v>1610</v>
      </c>
      <c r="B212" t="s">
        <v>1093</v>
      </c>
      <c r="C212" t="s">
        <v>1398</v>
      </c>
      <c r="D212">
        <v>1888.33</v>
      </c>
      <c r="E212" s="2">
        <v>45532</v>
      </c>
      <c r="F212" s="2">
        <v>45539</v>
      </c>
      <c r="G212">
        <v>7</v>
      </c>
      <c r="H212" t="s">
        <v>1399</v>
      </c>
    </row>
    <row r="213" spans="1:8" x14ac:dyDescent="0.35">
      <c r="A213" t="s">
        <v>1611</v>
      </c>
      <c r="B213" t="s">
        <v>600</v>
      </c>
      <c r="C213" t="s">
        <v>1394</v>
      </c>
      <c r="E213" s="2">
        <v>44893</v>
      </c>
      <c r="F213" s="2"/>
      <c r="H213" t="s">
        <v>1395</v>
      </c>
    </row>
    <row r="214" spans="1:8" x14ac:dyDescent="0.35">
      <c r="A214" t="s">
        <v>1612</v>
      </c>
      <c r="B214" t="s">
        <v>868</v>
      </c>
      <c r="C214" t="s">
        <v>1401</v>
      </c>
      <c r="D214">
        <v>27864.15</v>
      </c>
      <c r="E214" s="2">
        <v>45410</v>
      </c>
      <c r="F214" s="2">
        <v>45452</v>
      </c>
      <c r="G214">
        <v>42</v>
      </c>
      <c r="H214" t="s">
        <v>1399</v>
      </c>
    </row>
    <row r="215" spans="1:8" x14ac:dyDescent="0.35">
      <c r="A215" t="s">
        <v>1613</v>
      </c>
      <c r="B215" t="s">
        <v>776</v>
      </c>
      <c r="C215" t="s">
        <v>1398</v>
      </c>
      <c r="D215">
        <v>16855.830000000002</v>
      </c>
      <c r="E215" s="2">
        <v>45135</v>
      </c>
      <c r="F215" s="2">
        <v>45148</v>
      </c>
      <c r="G215">
        <v>13</v>
      </c>
      <c r="H215" t="s">
        <v>1399</v>
      </c>
    </row>
    <row r="216" spans="1:8" x14ac:dyDescent="0.35">
      <c r="A216" t="s">
        <v>1614</v>
      </c>
      <c r="B216" t="s">
        <v>1374</v>
      </c>
      <c r="C216" t="s">
        <v>1394</v>
      </c>
      <c r="E216" s="2">
        <v>44832</v>
      </c>
      <c r="F216" s="2"/>
      <c r="H216" t="s">
        <v>1395</v>
      </c>
    </row>
    <row r="217" spans="1:8" x14ac:dyDescent="0.35">
      <c r="A217" t="s">
        <v>1615</v>
      </c>
      <c r="B217" t="s">
        <v>1359</v>
      </c>
      <c r="C217" t="s">
        <v>1398</v>
      </c>
      <c r="E217" s="2">
        <v>45044</v>
      </c>
      <c r="F217" s="2">
        <v>45062</v>
      </c>
      <c r="G217">
        <v>18</v>
      </c>
      <c r="H217" t="s">
        <v>1435</v>
      </c>
    </row>
    <row r="218" spans="1:8" x14ac:dyDescent="0.35">
      <c r="A218" t="s">
        <v>1616</v>
      </c>
      <c r="B218" t="s">
        <v>1250</v>
      </c>
      <c r="C218" t="s">
        <v>1398</v>
      </c>
      <c r="D218">
        <v>4164.79</v>
      </c>
      <c r="E218" s="2">
        <v>44923</v>
      </c>
      <c r="F218" s="2">
        <v>44960</v>
      </c>
      <c r="G218">
        <v>37</v>
      </c>
      <c r="H218" t="s">
        <v>1399</v>
      </c>
    </row>
    <row r="219" spans="1:8" x14ac:dyDescent="0.35">
      <c r="A219" t="s">
        <v>1617</v>
      </c>
      <c r="B219" t="s">
        <v>785</v>
      </c>
      <c r="C219" t="s">
        <v>1398</v>
      </c>
      <c r="D219">
        <v>9642.2999999999993</v>
      </c>
      <c r="E219" s="2">
        <v>44709</v>
      </c>
      <c r="F219" s="2">
        <v>44743</v>
      </c>
      <c r="G219">
        <v>34</v>
      </c>
      <c r="H219" t="s">
        <v>1399</v>
      </c>
    </row>
    <row r="220" spans="1:8" x14ac:dyDescent="0.35">
      <c r="A220" t="s">
        <v>1618</v>
      </c>
      <c r="B220" t="s">
        <v>483</v>
      </c>
      <c r="C220" t="s">
        <v>1401</v>
      </c>
      <c r="D220">
        <v>58.51</v>
      </c>
      <c r="E220" s="2">
        <v>45350</v>
      </c>
      <c r="F220" s="2">
        <v>45435</v>
      </c>
      <c r="G220">
        <v>85</v>
      </c>
      <c r="H220" t="s">
        <v>1399</v>
      </c>
    </row>
    <row r="221" spans="1:8" x14ac:dyDescent="0.35">
      <c r="A221" t="s">
        <v>1619</v>
      </c>
      <c r="B221" t="s">
        <v>909</v>
      </c>
      <c r="C221" t="s">
        <v>1394</v>
      </c>
      <c r="E221" s="2">
        <v>45654</v>
      </c>
      <c r="F221" s="2"/>
      <c r="H221" t="s">
        <v>1395</v>
      </c>
    </row>
    <row r="222" spans="1:8" x14ac:dyDescent="0.35">
      <c r="A222" t="s">
        <v>1620</v>
      </c>
      <c r="B222" t="s">
        <v>744</v>
      </c>
      <c r="C222" t="s">
        <v>1398</v>
      </c>
      <c r="E222" s="2">
        <v>45105</v>
      </c>
      <c r="F222" s="2">
        <v>45110</v>
      </c>
      <c r="G222">
        <v>5</v>
      </c>
      <c r="H222" t="s">
        <v>1435</v>
      </c>
    </row>
    <row r="223" spans="1:8" x14ac:dyDescent="0.35">
      <c r="A223" t="s">
        <v>1621</v>
      </c>
      <c r="B223" t="s">
        <v>1078</v>
      </c>
      <c r="C223" t="s">
        <v>1394</v>
      </c>
      <c r="E223" s="2">
        <v>45013</v>
      </c>
      <c r="F223" s="2"/>
      <c r="H223" t="s">
        <v>1395</v>
      </c>
    </row>
    <row r="224" spans="1:8" x14ac:dyDescent="0.35">
      <c r="A224" t="s">
        <v>1622</v>
      </c>
      <c r="B224" t="s">
        <v>935</v>
      </c>
      <c r="C224" t="s">
        <v>1401</v>
      </c>
      <c r="D224">
        <v>3997.23</v>
      </c>
      <c r="E224" s="2">
        <v>45379</v>
      </c>
      <c r="F224" s="2">
        <v>45389</v>
      </c>
      <c r="G224">
        <v>10</v>
      </c>
      <c r="H224" t="s">
        <v>1399</v>
      </c>
    </row>
    <row r="225" spans="1:8" x14ac:dyDescent="0.35">
      <c r="A225" t="s">
        <v>1623</v>
      </c>
      <c r="B225" t="s">
        <v>460</v>
      </c>
      <c r="C225" t="s">
        <v>1401</v>
      </c>
      <c r="D225">
        <v>4102.5200000000004</v>
      </c>
      <c r="E225" s="2">
        <v>45227</v>
      </c>
      <c r="F225" s="2">
        <v>45228</v>
      </c>
      <c r="G225">
        <v>1</v>
      </c>
      <c r="H225" t="s">
        <v>1399</v>
      </c>
    </row>
    <row r="226" spans="1:8" x14ac:dyDescent="0.35">
      <c r="A226" t="s">
        <v>1624</v>
      </c>
      <c r="B226" t="s">
        <v>983</v>
      </c>
      <c r="C226" t="s">
        <v>1394</v>
      </c>
      <c r="E226" s="2">
        <v>45563</v>
      </c>
      <c r="F226" s="2"/>
      <c r="H226" t="s">
        <v>1395</v>
      </c>
    </row>
    <row r="227" spans="1:8" x14ac:dyDescent="0.35">
      <c r="A227" t="s">
        <v>1625</v>
      </c>
      <c r="B227" t="s">
        <v>613</v>
      </c>
      <c r="C227" t="s">
        <v>1398</v>
      </c>
      <c r="D227">
        <v>19115.12</v>
      </c>
      <c r="E227" s="2">
        <v>44589</v>
      </c>
      <c r="F227" s="2">
        <v>44600</v>
      </c>
      <c r="G227">
        <v>11</v>
      </c>
      <c r="H227" t="s">
        <v>1399</v>
      </c>
    </row>
    <row r="228" spans="1:8" x14ac:dyDescent="0.35">
      <c r="A228" t="s">
        <v>1626</v>
      </c>
      <c r="B228" t="s">
        <v>1323</v>
      </c>
      <c r="C228" t="s">
        <v>1401</v>
      </c>
      <c r="D228">
        <v>34842.980000000003</v>
      </c>
      <c r="E228" s="2">
        <v>45654</v>
      </c>
      <c r="F228" s="2">
        <v>45659</v>
      </c>
      <c r="G228">
        <v>5</v>
      </c>
      <c r="H228" t="s">
        <v>1399</v>
      </c>
    </row>
    <row r="229" spans="1:8" x14ac:dyDescent="0.35">
      <c r="A229" t="s">
        <v>1627</v>
      </c>
      <c r="B229" t="s">
        <v>1214</v>
      </c>
      <c r="C229" t="s">
        <v>1398</v>
      </c>
      <c r="D229">
        <v>8396.4</v>
      </c>
      <c r="E229" s="2">
        <v>44923</v>
      </c>
      <c r="F229" s="2">
        <v>44936</v>
      </c>
      <c r="G229">
        <v>13</v>
      </c>
      <c r="H229" t="s">
        <v>1399</v>
      </c>
    </row>
    <row r="230" spans="1:8" x14ac:dyDescent="0.35">
      <c r="A230" t="s">
        <v>1628</v>
      </c>
      <c r="B230" t="s">
        <v>437</v>
      </c>
      <c r="C230" t="s">
        <v>1401</v>
      </c>
      <c r="D230">
        <v>17065.13</v>
      </c>
      <c r="E230" s="2">
        <v>45074</v>
      </c>
      <c r="F230" s="2">
        <v>45088</v>
      </c>
      <c r="G230">
        <v>14</v>
      </c>
      <c r="H230" t="s">
        <v>1399</v>
      </c>
    </row>
    <row r="231" spans="1:8" x14ac:dyDescent="0.35">
      <c r="A231" t="s">
        <v>1629</v>
      </c>
      <c r="B231" t="s">
        <v>798</v>
      </c>
      <c r="C231" t="s">
        <v>1401</v>
      </c>
      <c r="D231">
        <v>24279.02</v>
      </c>
      <c r="E231" s="2">
        <v>45654</v>
      </c>
      <c r="F231" s="2">
        <v>45669</v>
      </c>
      <c r="G231">
        <v>15</v>
      </c>
      <c r="H231" t="s">
        <v>1399</v>
      </c>
    </row>
    <row r="232" spans="1:8" x14ac:dyDescent="0.35">
      <c r="A232" t="s">
        <v>1630</v>
      </c>
      <c r="B232" t="s">
        <v>865</v>
      </c>
      <c r="C232" t="s">
        <v>1401</v>
      </c>
      <c r="D232">
        <v>22159.87</v>
      </c>
      <c r="E232" s="2">
        <v>45013</v>
      </c>
      <c r="F232" s="2">
        <v>45027</v>
      </c>
      <c r="G232">
        <v>14</v>
      </c>
      <c r="H232" t="s">
        <v>1399</v>
      </c>
    </row>
    <row r="233" spans="1:8" x14ac:dyDescent="0.35">
      <c r="A233" t="s">
        <v>1631</v>
      </c>
      <c r="B233" t="s">
        <v>679</v>
      </c>
      <c r="C233" t="s">
        <v>1398</v>
      </c>
      <c r="D233">
        <v>18970.95</v>
      </c>
      <c r="E233" s="2">
        <v>45074</v>
      </c>
      <c r="F233" s="2">
        <v>45119</v>
      </c>
      <c r="G233">
        <v>45</v>
      </c>
      <c r="H233" t="s">
        <v>1399</v>
      </c>
    </row>
    <row r="234" spans="1:8" x14ac:dyDescent="0.35">
      <c r="A234" t="s">
        <v>1632</v>
      </c>
      <c r="B234" t="s">
        <v>859</v>
      </c>
      <c r="C234" t="s">
        <v>1394</v>
      </c>
      <c r="E234" s="2">
        <v>45410</v>
      </c>
      <c r="F234" s="2"/>
      <c r="H234" t="s">
        <v>1395</v>
      </c>
    </row>
    <row r="235" spans="1:8" x14ac:dyDescent="0.35">
      <c r="A235" t="s">
        <v>1633</v>
      </c>
      <c r="B235" t="s">
        <v>1335</v>
      </c>
      <c r="C235" t="s">
        <v>1401</v>
      </c>
      <c r="D235">
        <v>34779.699999999997</v>
      </c>
      <c r="E235" s="2">
        <v>45288</v>
      </c>
      <c r="F235" s="2">
        <v>45299</v>
      </c>
      <c r="G235">
        <v>11</v>
      </c>
      <c r="H235" t="s">
        <v>1399</v>
      </c>
    </row>
    <row r="236" spans="1:8" x14ac:dyDescent="0.35">
      <c r="A236" t="s">
        <v>1634</v>
      </c>
      <c r="B236" t="s">
        <v>408</v>
      </c>
      <c r="C236" t="s">
        <v>1401</v>
      </c>
      <c r="D236">
        <v>3644.4</v>
      </c>
      <c r="E236" s="2">
        <v>44770</v>
      </c>
      <c r="F236" s="2">
        <v>44777</v>
      </c>
      <c r="G236">
        <v>7</v>
      </c>
      <c r="H236" t="s">
        <v>1399</v>
      </c>
    </row>
    <row r="237" spans="1:8" x14ac:dyDescent="0.35">
      <c r="A237" t="s">
        <v>1635</v>
      </c>
      <c r="B237" t="s">
        <v>558</v>
      </c>
      <c r="C237" t="s">
        <v>1401</v>
      </c>
      <c r="D237">
        <v>12849.11</v>
      </c>
      <c r="E237" s="2">
        <v>45013</v>
      </c>
      <c r="F237" s="2">
        <v>45031</v>
      </c>
      <c r="G237">
        <v>18</v>
      </c>
      <c r="H237" t="s">
        <v>1399</v>
      </c>
    </row>
    <row r="238" spans="1:8" x14ac:dyDescent="0.35">
      <c r="A238" t="s">
        <v>1636</v>
      </c>
      <c r="B238" t="s">
        <v>1211</v>
      </c>
      <c r="C238" t="s">
        <v>1398</v>
      </c>
      <c r="D238">
        <v>19405.11</v>
      </c>
      <c r="E238" s="2">
        <v>45227</v>
      </c>
      <c r="F238" s="2">
        <v>45242</v>
      </c>
      <c r="G238">
        <v>15</v>
      </c>
      <c r="H238" t="s">
        <v>1399</v>
      </c>
    </row>
    <row r="239" spans="1:8" x14ac:dyDescent="0.35">
      <c r="A239" t="s">
        <v>1637</v>
      </c>
      <c r="B239" t="s">
        <v>1179</v>
      </c>
      <c r="C239" t="s">
        <v>1401</v>
      </c>
      <c r="D239">
        <v>37404.550000000003</v>
      </c>
      <c r="E239" s="2">
        <v>45350</v>
      </c>
      <c r="F239" s="2">
        <v>45375</v>
      </c>
      <c r="G239">
        <v>25</v>
      </c>
      <c r="H239" t="s">
        <v>1399</v>
      </c>
    </row>
    <row r="240" spans="1:8" x14ac:dyDescent="0.35">
      <c r="A240" t="s">
        <v>1638</v>
      </c>
      <c r="B240" t="s">
        <v>1070</v>
      </c>
      <c r="C240" t="s">
        <v>1394</v>
      </c>
      <c r="E240" s="2">
        <v>44648</v>
      </c>
      <c r="F240" s="2"/>
      <c r="H240" t="s">
        <v>1395</v>
      </c>
    </row>
    <row r="241" spans="1:8" x14ac:dyDescent="0.35">
      <c r="A241" t="s">
        <v>1639</v>
      </c>
      <c r="B241" t="s">
        <v>1271</v>
      </c>
      <c r="C241" t="s">
        <v>1394</v>
      </c>
      <c r="E241" s="2">
        <v>45654</v>
      </c>
      <c r="F241" s="2"/>
      <c r="H241" t="s">
        <v>1395</v>
      </c>
    </row>
    <row r="242" spans="1:8" x14ac:dyDescent="0.35">
      <c r="A242" t="s">
        <v>1640</v>
      </c>
      <c r="B242" t="s">
        <v>1333</v>
      </c>
      <c r="C242" t="s">
        <v>1398</v>
      </c>
      <c r="E242" s="2">
        <v>45074</v>
      </c>
      <c r="F242" s="2">
        <v>45089</v>
      </c>
      <c r="G242">
        <v>15</v>
      </c>
      <c r="H242" t="s">
        <v>1435</v>
      </c>
    </row>
    <row r="243" spans="1:8" x14ac:dyDescent="0.35">
      <c r="A243" t="s">
        <v>1641</v>
      </c>
      <c r="B243" t="s">
        <v>543</v>
      </c>
      <c r="C243" t="s">
        <v>1401</v>
      </c>
      <c r="D243">
        <v>15612.88</v>
      </c>
      <c r="E243" s="2">
        <v>44985</v>
      </c>
      <c r="F243" s="2">
        <v>44993</v>
      </c>
      <c r="G243">
        <v>8</v>
      </c>
      <c r="H243" t="s">
        <v>1399</v>
      </c>
    </row>
    <row r="244" spans="1:8" x14ac:dyDescent="0.35">
      <c r="A244" t="s">
        <v>1642</v>
      </c>
      <c r="B244" t="s">
        <v>1001</v>
      </c>
      <c r="C244" t="s">
        <v>1401</v>
      </c>
      <c r="D244">
        <v>35541.919999999998</v>
      </c>
      <c r="E244" s="2">
        <v>44709</v>
      </c>
      <c r="F244" s="2">
        <v>44735</v>
      </c>
      <c r="G244">
        <v>26</v>
      </c>
      <c r="H244" t="s">
        <v>1399</v>
      </c>
    </row>
    <row r="245" spans="1:8" x14ac:dyDescent="0.35">
      <c r="A245" t="s">
        <v>1643</v>
      </c>
      <c r="B245" t="s">
        <v>657</v>
      </c>
      <c r="C245" t="s">
        <v>1401</v>
      </c>
      <c r="D245">
        <v>14481.12</v>
      </c>
      <c r="E245" s="2">
        <v>45654</v>
      </c>
      <c r="F245" s="2">
        <v>45697</v>
      </c>
      <c r="G245">
        <v>43</v>
      </c>
      <c r="H245" t="s">
        <v>1399</v>
      </c>
    </row>
    <row r="246" spans="1:8" x14ac:dyDescent="0.35">
      <c r="A246" t="s">
        <v>1644</v>
      </c>
      <c r="B246" t="s">
        <v>1021</v>
      </c>
      <c r="C246" t="s">
        <v>1394</v>
      </c>
      <c r="E246" s="2">
        <v>44648</v>
      </c>
      <c r="F246" s="2"/>
      <c r="H246" t="s">
        <v>1395</v>
      </c>
    </row>
    <row r="247" spans="1:8" x14ac:dyDescent="0.35">
      <c r="A247" t="s">
        <v>1645</v>
      </c>
      <c r="B247" t="s">
        <v>860</v>
      </c>
      <c r="C247" t="s">
        <v>1401</v>
      </c>
      <c r="D247">
        <v>37706.51</v>
      </c>
      <c r="E247" s="2">
        <v>45227</v>
      </c>
      <c r="F247" s="2">
        <v>45262</v>
      </c>
      <c r="G247">
        <v>35</v>
      </c>
      <c r="H247" t="s">
        <v>1399</v>
      </c>
    </row>
    <row r="248" spans="1:8" x14ac:dyDescent="0.35">
      <c r="A248" t="s">
        <v>1646</v>
      </c>
      <c r="B248" t="s">
        <v>1262</v>
      </c>
      <c r="C248" t="s">
        <v>1398</v>
      </c>
      <c r="E248" s="2">
        <v>44648</v>
      </c>
      <c r="F248" s="2">
        <v>44691</v>
      </c>
      <c r="G248">
        <v>43</v>
      </c>
      <c r="H248" t="s">
        <v>1435</v>
      </c>
    </row>
    <row r="249" spans="1:8" x14ac:dyDescent="0.35">
      <c r="A249" t="s">
        <v>1647</v>
      </c>
      <c r="B249" t="s">
        <v>581</v>
      </c>
      <c r="C249" t="s">
        <v>1401</v>
      </c>
      <c r="D249">
        <v>28510.799999999999</v>
      </c>
      <c r="E249" s="2">
        <v>44801</v>
      </c>
      <c r="F249" s="2">
        <v>44861</v>
      </c>
      <c r="G249">
        <v>60</v>
      </c>
      <c r="H249" t="s">
        <v>1399</v>
      </c>
    </row>
    <row r="250" spans="1:8" x14ac:dyDescent="0.35">
      <c r="A250" t="s">
        <v>1648</v>
      </c>
      <c r="B250" t="s">
        <v>772</v>
      </c>
      <c r="C250" t="s">
        <v>1401</v>
      </c>
      <c r="D250">
        <v>15402.41</v>
      </c>
      <c r="E250" s="2">
        <v>45197</v>
      </c>
      <c r="F250" s="2">
        <v>45285</v>
      </c>
      <c r="G250">
        <v>88</v>
      </c>
      <c r="H250" t="s">
        <v>1399</v>
      </c>
    </row>
    <row r="251" spans="1:8" x14ac:dyDescent="0.35">
      <c r="A251" t="s">
        <v>1649</v>
      </c>
      <c r="B251" t="s">
        <v>786</v>
      </c>
      <c r="C251" t="s">
        <v>1394</v>
      </c>
      <c r="E251" s="2">
        <v>45563</v>
      </c>
      <c r="F251" s="2"/>
      <c r="H251" t="s">
        <v>1395</v>
      </c>
    </row>
    <row r="252" spans="1:8" x14ac:dyDescent="0.35">
      <c r="A252" t="s">
        <v>1650</v>
      </c>
      <c r="B252" t="s">
        <v>931</v>
      </c>
      <c r="C252" t="s">
        <v>1398</v>
      </c>
      <c r="D252">
        <v>723.2</v>
      </c>
      <c r="E252" s="2">
        <v>44770</v>
      </c>
      <c r="F252" s="2">
        <v>44777</v>
      </c>
      <c r="G252">
        <v>7</v>
      </c>
      <c r="H252" t="s">
        <v>1399</v>
      </c>
    </row>
    <row r="253" spans="1:8" x14ac:dyDescent="0.35">
      <c r="A253" t="s">
        <v>1651</v>
      </c>
      <c r="B253" t="s">
        <v>547</v>
      </c>
      <c r="C253" t="s">
        <v>1398</v>
      </c>
      <c r="D253">
        <v>7128.79</v>
      </c>
      <c r="E253" s="2">
        <v>44620</v>
      </c>
      <c r="F253" s="2">
        <v>44644</v>
      </c>
      <c r="G253">
        <v>24</v>
      </c>
      <c r="H253" t="s">
        <v>1399</v>
      </c>
    </row>
    <row r="254" spans="1:8" x14ac:dyDescent="0.35">
      <c r="A254" t="s">
        <v>1652</v>
      </c>
      <c r="B254" t="s">
        <v>1112</v>
      </c>
      <c r="C254" t="s">
        <v>1401</v>
      </c>
      <c r="D254">
        <v>17228.93</v>
      </c>
      <c r="E254" s="2">
        <v>44801</v>
      </c>
      <c r="F254" s="2">
        <v>44801</v>
      </c>
      <c r="G254">
        <v>0</v>
      </c>
      <c r="H254" t="s">
        <v>1399</v>
      </c>
    </row>
    <row r="255" spans="1:8" x14ac:dyDescent="0.35">
      <c r="A255" t="s">
        <v>1653</v>
      </c>
      <c r="B255" t="s">
        <v>1315</v>
      </c>
      <c r="C255" t="s">
        <v>1401</v>
      </c>
      <c r="D255">
        <v>21893.79</v>
      </c>
      <c r="E255" s="2">
        <v>44740</v>
      </c>
      <c r="F255" s="2">
        <v>44754</v>
      </c>
      <c r="G255">
        <v>14</v>
      </c>
      <c r="H255" t="s">
        <v>1399</v>
      </c>
    </row>
    <row r="256" spans="1:8" x14ac:dyDescent="0.35">
      <c r="A256" t="s">
        <v>1654</v>
      </c>
      <c r="B256" t="s">
        <v>470</v>
      </c>
      <c r="C256" t="s">
        <v>1398</v>
      </c>
      <c r="E256" s="2">
        <v>45624</v>
      </c>
      <c r="F256" s="2">
        <v>45627</v>
      </c>
      <c r="G256">
        <v>3</v>
      </c>
      <c r="H256" t="s">
        <v>1435</v>
      </c>
    </row>
    <row r="257" spans="1:8" x14ac:dyDescent="0.35">
      <c r="A257" t="s">
        <v>1655</v>
      </c>
      <c r="B257" t="s">
        <v>756</v>
      </c>
      <c r="C257" t="s">
        <v>1398</v>
      </c>
      <c r="D257">
        <v>1149.1500000000001</v>
      </c>
      <c r="E257" s="2">
        <v>44679</v>
      </c>
      <c r="F257" s="2">
        <v>44687</v>
      </c>
      <c r="G257">
        <v>8</v>
      </c>
      <c r="H257" t="s">
        <v>1399</v>
      </c>
    </row>
    <row r="258" spans="1:8" x14ac:dyDescent="0.35">
      <c r="A258" t="s">
        <v>1656</v>
      </c>
      <c r="B258" t="s">
        <v>478</v>
      </c>
      <c r="C258" t="s">
        <v>1394</v>
      </c>
      <c r="E258" s="2">
        <v>44862</v>
      </c>
      <c r="F258" s="2"/>
      <c r="H258" t="s">
        <v>1395</v>
      </c>
    </row>
    <row r="259" spans="1:8" x14ac:dyDescent="0.35">
      <c r="A259" t="s">
        <v>1657</v>
      </c>
      <c r="B259" t="s">
        <v>402</v>
      </c>
      <c r="C259" t="s">
        <v>1394</v>
      </c>
      <c r="E259" s="2">
        <v>44679</v>
      </c>
      <c r="F259" s="2"/>
      <c r="H259" t="s">
        <v>1395</v>
      </c>
    </row>
    <row r="260" spans="1:8" x14ac:dyDescent="0.35">
      <c r="A260" t="s">
        <v>1658</v>
      </c>
      <c r="B260" t="s">
        <v>982</v>
      </c>
      <c r="C260" t="s">
        <v>1398</v>
      </c>
      <c r="D260">
        <v>7036.99</v>
      </c>
      <c r="E260" s="2">
        <v>45074</v>
      </c>
      <c r="F260" s="2">
        <v>45086</v>
      </c>
      <c r="G260">
        <v>12</v>
      </c>
      <c r="H260" t="s">
        <v>1399</v>
      </c>
    </row>
    <row r="261" spans="1:8" x14ac:dyDescent="0.35">
      <c r="A261" t="s">
        <v>1659</v>
      </c>
      <c r="B261" t="s">
        <v>567</v>
      </c>
      <c r="C261" t="s">
        <v>1398</v>
      </c>
      <c r="D261">
        <v>15576.7</v>
      </c>
      <c r="E261" s="2">
        <v>45563</v>
      </c>
      <c r="F261" s="2">
        <v>45563</v>
      </c>
      <c r="G261">
        <v>0</v>
      </c>
      <c r="H261" t="s">
        <v>1399</v>
      </c>
    </row>
    <row r="262" spans="1:8" x14ac:dyDescent="0.35">
      <c r="A262" t="s">
        <v>1660</v>
      </c>
      <c r="B262" t="s">
        <v>771</v>
      </c>
      <c r="C262" t="s">
        <v>1401</v>
      </c>
      <c r="D262">
        <v>5857.8</v>
      </c>
      <c r="E262" s="2">
        <v>44679</v>
      </c>
      <c r="F262" s="2">
        <v>44685</v>
      </c>
      <c r="G262">
        <v>6</v>
      </c>
      <c r="H262" t="s">
        <v>1399</v>
      </c>
    </row>
    <row r="263" spans="1:8" x14ac:dyDescent="0.35">
      <c r="A263" t="s">
        <v>1661</v>
      </c>
      <c r="B263" t="s">
        <v>968</v>
      </c>
      <c r="C263" t="s">
        <v>1398</v>
      </c>
      <c r="E263" s="2">
        <v>45197</v>
      </c>
      <c r="F263" s="2">
        <v>45197</v>
      </c>
      <c r="G263">
        <v>0</v>
      </c>
      <c r="H263" t="s">
        <v>1435</v>
      </c>
    </row>
    <row r="264" spans="1:8" x14ac:dyDescent="0.35">
      <c r="A264" t="s">
        <v>1662</v>
      </c>
      <c r="B264" t="s">
        <v>380</v>
      </c>
      <c r="C264" t="s">
        <v>1401</v>
      </c>
      <c r="D264">
        <v>6046.04</v>
      </c>
      <c r="E264" s="2">
        <v>45044</v>
      </c>
      <c r="F264" s="2">
        <v>45051</v>
      </c>
      <c r="G264">
        <v>7</v>
      </c>
      <c r="H264" t="s">
        <v>1399</v>
      </c>
    </row>
    <row r="265" spans="1:8" x14ac:dyDescent="0.35">
      <c r="A265" t="s">
        <v>1663</v>
      </c>
      <c r="B265" t="s">
        <v>1343</v>
      </c>
      <c r="C265" t="s">
        <v>1401</v>
      </c>
      <c r="D265">
        <v>9686.9699999999993</v>
      </c>
      <c r="E265" s="2">
        <v>44862</v>
      </c>
      <c r="F265" s="2">
        <v>44914</v>
      </c>
      <c r="G265">
        <v>52</v>
      </c>
      <c r="H265" t="s">
        <v>1399</v>
      </c>
    </row>
    <row r="266" spans="1:8" x14ac:dyDescent="0.35">
      <c r="A266" t="s">
        <v>1664</v>
      </c>
      <c r="B266" t="s">
        <v>532</v>
      </c>
      <c r="C266" t="s">
        <v>1398</v>
      </c>
      <c r="D266">
        <v>6469.62</v>
      </c>
      <c r="E266" s="2">
        <v>45532</v>
      </c>
      <c r="F266" s="2"/>
      <c r="H266" t="s">
        <v>1416</v>
      </c>
    </row>
    <row r="267" spans="1:8" x14ac:dyDescent="0.35">
      <c r="A267" t="s">
        <v>1665</v>
      </c>
      <c r="B267" t="s">
        <v>561</v>
      </c>
      <c r="C267" t="s">
        <v>1401</v>
      </c>
      <c r="D267">
        <v>6368.99</v>
      </c>
      <c r="E267" s="2">
        <v>44954</v>
      </c>
      <c r="F267" s="2">
        <v>44959</v>
      </c>
      <c r="G267">
        <v>5</v>
      </c>
      <c r="H267" t="s">
        <v>1399</v>
      </c>
    </row>
    <row r="268" spans="1:8" x14ac:dyDescent="0.35">
      <c r="A268" t="s">
        <v>1666</v>
      </c>
      <c r="B268" t="s">
        <v>535</v>
      </c>
      <c r="C268" t="s">
        <v>1398</v>
      </c>
      <c r="D268">
        <v>15387.15</v>
      </c>
      <c r="E268" s="2">
        <v>44679</v>
      </c>
      <c r="F268" s="2">
        <v>44683</v>
      </c>
      <c r="G268">
        <v>4</v>
      </c>
      <c r="H268" t="s">
        <v>1399</v>
      </c>
    </row>
    <row r="269" spans="1:8" x14ac:dyDescent="0.35">
      <c r="A269" t="s">
        <v>1667</v>
      </c>
      <c r="B269" t="s">
        <v>1023</v>
      </c>
      <c r="C269" t="s">
        <v>1401</v>
      </c>
      <c r="D269">
        <v>21244.25</v>
      </c>
      <c r="E269" s="2">
        <v>44832</v>
      </c>
      <c r="F269" s="2">
        <v>44866</v>
      </c>
      <c r="G269">
        <v>34</v>
      </c>
      <c r="H269" t="s">
        <v>1399</v>
      </c>
    </row>
    <row r="270" spans="1:8" x14ac:dyDescent="0.35">
      <c r="A270" t="s">
        <v>1668</v>
      </c>
      <c r="B270" t="s">
        <v>1138</v>
      </c>
      <c r="C270" t="s">
        <v>1394</v>
      </c>
      <c r="E270" s="2">
        <v>45319</v>
      </c>
      <c r="F270" s="2"/>
      <c r="H270" t="s">
        <v>1395</v>
      </c>
    </row>
    <row r="271" spans="1:8" x14ac:dyDescent="0.35">
      <c r="A271" t="s">
        <v>1669</v>
      </c>
      <c r="B271" t="s">
        <v>601</v>
      </c>
      <c r="C271" t="s">
        <v>1401</v>
      </c>
      <c r="D271">
        <v>2867.45</v>
      </c>
      <c r="E271" s="2">
        <v>45532</v>
      </c>
      <c r="F271" s="2">
        <v>45539</v>
      </c>
      <c r="G271">
        <v>7</v>
      </c>
      <c r="H271" t="s">
        <v>1399</v>
      </c>
    </row>
    <row r="272" spans="1:8" x14ac:dyDescent="0.35">
      <c r="A272" t="s">
        <v>1670</v>
      </c>
      <c r="B272" t="s">
        <v>412</v>
      </c>
      <c r="C272" t="s">
        <v>1398</v>
      </c>
      <c r="D272">
        <v>2510.48</v>
      </c>
      <c r="E272" s="2">
        <v>45074</v>
      </c>
      <c r="F272" s="2"/>
      <c r="H272" t="s">
        <v>1416</v>
      </c>
    </row>
    <row r="273" spans="1:8" x14ac:dyDescent="0.35">
      <c r="A273" t="s">
        <v>1671</v>
      </c>
      <c r="B273" t="s">
        <v>995</v>
      </c>
      <c r="C273" t="s">
        <v>1394</v>
      </c>
      <c r="E273" s="2">
        <v>44589</v>
      </c>
      <c r="F273" s="2"/>
      <c r="H273" t="s">
        <v>1395</v>
      </c>
    </row>
    <row r="274" spans="1:8" x14ac:dyDescent="0.35">
      <c r="A274" t="s">
        <v>1672</v>
      </c>
      <c r="B274" t="s">
        <v>425</v>
      </c>
      <c r="C274" t="s">
        <v>1398</v>
      </c>
      <c r="D274">
        <v>17032.689999999999</v>
      </c>
      <c r="E274" s="2">
        <v>44832</v>
      </c>
      <c r="F274" s="2"/>
      <c r="H274" t="s">
        <v>1416</v>
      </c>
    </row>
    <row r="275" spans="1:8" x14ac:dyDescent="0.35">
      <c r="A275" t="s">
        <v>1673</v>
      </c>
      <c r="B275" t="s">
        <v>1066</v>
      </c>
      <c r="C275" t="s">
        <v>1401</v>
      </c>
      <c r="D275">
        <v>33423.39</v>
      </c>
      <c r="E275" s="2">
        <v>44589</v>
      </c>
      <c r="F275" s="2">
        <v>44590</v>
      </c>
      <c r="G275">
        <v>1</v>
      </c>
      <c r="H275" t="s">
        <v>1399</v>
      </c>
    </row>
    <row r="276" spans="1:8" x14ac:dyDescent="0.35">
      <c r="A276" t="s">
        <v>1674</v>
      </c>
      <c r="B276" t="s">
        <v>1277</v>
      </c>
      <c r="C276" t="s">
        <v>1398</v>
      </c>
      <c r="E276" s="2">
        <v>44954</v>
      </c>
      <c r="F276" s="2">
        <v>44966</v>
      </c>
      <c r="G276">
        <v>12</v>
      </c>
      <c r="H276" t="s">
        <v>1435</v>
      </c>
    </row>
    <row r="277" spans="1:8" x14ac:dyDescent="0.35">
      <c r="A277" t="s">
        <v>1675</v>
      </c>
      <c r="B277" t="s">
        <v>595</v>
      </c>
      <c r="C277" t="s">
        <v>1398</v>
      </c>
      <c r="E277" s="2">
        <v>45074</v>
      </c>
      <c r="F277" s="2">
        <v>45083</v>
      </c>
      <c r="G277">
        <v>9</v>
      </c>
      <c r="H277" t="s">
        <v>1435</v>
      </c>
    </row>
    <row r="278" spans="1:8" x14ac:dyDescent="0.35">
      <c r="A278" t="s">
        <v>1676</v>
      </c>
      <c r="B278" t="s">
        <v>727</v>
      </c>
      <c r="C278" t="s">
        <v>1394</v>
      </c>
      <c r="E278" s="2">
        <v>45471</v>
      </c>
      <c r="F278" s="2"/>
      <c r="H278" t="s">
        <v>1395</v>
      </c>
    </row>
    <row r="279" spans="1:8" x14ac:dyDescent="0.35">
      <c r="A279" t="s">
        <v>1677</v>
      </c>
      <c r="B279" t="s">
        <v>940</v>
      </c>
      <c r="C279" t="s">
        <v>1398</v>
      </c>
      <c r="D279">
        <v>7947.2</v>
      </c>
      <c r="E279" s="2">
        <v>45624</v>
      </c>
      <c r="F279" s="2">
        <v>45634</v>
      </c>
      <c r="G279">
        <v>10</v>
      </c>
      <c r="H279" t="s">
        <v>1399</v>
      </c>
    </row>
    <row r="280" spans="1:8" x14ac:dyDescent="0.35">
      <c r="A280" t="s">
        <v>1678</v>
      </c>
      <c r="B280" t="s">
        <v>444</v>
      </c>
      <c r="C280" t="s">
        <v>1401</v>
      </c>
      <c r="D280">
        <v>15522.78</v>
      </c>
      <c r="E280" s="2">
        <v>44801</v>
      </c>
      <c r="F280" s="2">
        <v>44801</v>
      </c>
      <c r="G280">
        <v>0</v>
      </c>
      <c r="H280" t="s">
        <v>1399</v>
      </c>
    </row>
    <row r="281" spans="1:8" x14ac:dyDescent="0.35">
      <c r="A281" t="s">
        <v>1679</v>
      </c>
      <c r="B281" t="s">
        <v>534</v>
      </c>
      <c r="C281" t="s">
        <v>1401</v>
      </c>
      <c r="D281">
        <v>32981.21</v>
      </c>
      <c r="E281" s="2">
        <v>45350</v>
      </c>
      <c r="F281" s="2">
        <v>45363</v>
      </c>
      <c r="G281">
        <v>13</v>
      </c>
      <c r="H281" t="s">
        <v>1399</v>
      </c>
    </row>
    <row r="282" spans="1:8" x14ac:dyDescent="0.35">
      <c r="A282" t="s">
        <v>1680</v>
      </c>
      <c r="B282" t="s">
        <v>490</v>
      </c>
      <c r="C282" t="s">
        <v>1401</v>
      </c>
      <c r="D282">
        <v>13353.83</v>
      </c>
      <c r="E282" s="2">
        <v>45166</v>
      </c>
      <c r="F282" s="2">
        <v>45177</v>
      </c>
      <c r="G282">
        <v>11</v>
      </c>
      <c r="H282" t="s">
        <v>1399</v>
      </c>
    </row>
    <row r="283" spans="1:8" x14ac:dyDescent="0.35">
      <c r="A283" t="s">
        <v>1681</v>
      </c>
      <c r="B283" t="s">
        <v>857</v>
      </c>
      <c r="C283" t="s">
        <v>1398</v>
      </c>
      <c r="D283">
        <v>4006.44</v>
      </c>
      <c r="E283" s="2">
        <v>44862</v>
      </c>
      <c r="F283" s="2"/>
      <c r="H283" t="s">
        <v>1416</v>
      </c>
    </row>
    <row r="284" spans="1:8" x14ac:dyDescent="0.35">
      <c r="A284" t="s">
        <v>1682</v>
      </c>
      <c r="B284" t="s">
        <v>452</v>
      </c>
      <c r="C284" t="s">
        <v>1401</v>
      </c>
      <c r="D284">
        <v>7424.52</v>
      </c>
      <c r="E284" s="2">
        <v>44648</v>
      </c>
      <c r="F284" s="2">
        <v>44650</v>
      </c>
      <c r="G284">
        <v>2</v>
      </c>
      <c r="H284" t="s">
        <v>1399</v>
      </c>
    </row>
    <row r="285" spans="1:8" x14ac:dyDescent="0.35">
      <c r="A285" t="s">
        <v>1683</v>
      </c>
      <c r="B285" t="s">
        <v>456</v>
      </c>
      <c r="C285" t="s">
        <v>1398</v>
      </c>
      <c r="D285">
        <v>14602.43</v>
      </c>
      <c r="E285" s="2">
        <v>45410</v>
      </c>
      <c r="F285" s="2">
        <v>45418</v>
      </c>
      <c r="G285">
        <v>8</v>
      </c>
      <c r="H285" t="s">
        <v>1399</v>
      </c>
    </row>
    <row r="286" spans="1:8" x14ac:dyDescent="0.35">
      <c r="A286" t="s">
        <v>1684</v>
      </c>
      <c r="B286" t="s">
        <v>1319</v>
      </c>
      <c r="C286" t="s">
        <v>1398</v>
      </c>
      <c r="E286" s="2">
        <v>44679</v>
      </c>
      <c r="F286" s="2">
        <v>44690</v>
      </c>
      <c r="G286">
        <v>11</v>
      </c>
      <c r="H286" t="s">
        <v>1435</v>
      </c>
    </row>
    <row r="287" spans="1:8" x14ac:dyDescent="0.35">
      <c r="A287" t="s">
        <v>1685</v>
      </c>
      <c r="B287" t="s">
        <v>735</v>
      </c>
      <c r="C287" t="s">
        <v>1398</v>
      </c>
      <c r="D287">
        <v>10269.34</v>
      </c>
      <c r="E287" s="2">
        <v>44801</v>
      </c>
      <c r="F287" s="2">
        <v>44809</v>
      </c>
      <c r="G287">
        <v>8</v>
      </c>
      <c r="H287" t="s">
        <v>1399</v>
      </c>
    </row>
    <row r="288" spans="1:8" x14ac:dyDescent="0.35">
      <c r="A288" t="s">
        <v>1686</v>
      </c>
      <c r="B288" t="s">
        <v>711</v>
      </c>
      <c r="C288" t="s">
        <v>1394</v>
      </c>
      <c r="E288" s="2">
        <v>45044</v>
      </c>
      <c r="F288" s="2"/>
      <c r="H288" t="s">
        <v>1395</v>
      </c>
    </row>
    <row r="289" spans="1:8" x14ac:dyDescent="0.35">
      <c r="A289" t="s">
        <v>1687</v>
      </c>
      <c r="B289" t="s">
        <v>970</v>
      </c>
      <c r="C289" t="s">
        <v>1401</v>
      </c>
      <c r="D289">
        <v>8848.49</v>
      </c>
      <c r="E289" s="2">
        <v>44862</v>
      </c>
      <c r="F289" s="2">
        <v>44874</v>
      </c>
      <c r="G289">
        <v>12</v>
      </c>
      <c r="H289" t="s">
        <v>1399</v>
      </c>
    </row>
    <row r="290" spans="1:8" x14ac:dyDescent="0.35">
      <c r="A290" t="s">
        <v>1688</v>
      </c>
      <c r="B290" t="s">
        <v>1008</v>
      </c>
      <c r="C290" t="s">
        <v>1394</v>
      </c>
      <c r="E290" s="2">
        <v>45135</v>
      </c>
      <c r="F290" s="2"/>
      <c r="H290" t="s">
        <v>1395</v>
      </c>
    </row>
    <row r="291" spans="1:8" x14ac:dyDescent="0.35">
      <c r="A291" t="s">
        <v>1689</v>
      </c>
      <c r="B291" t="s">
        <v>513</v>
      </c>
      <c r="C291" t="s">
        <v>1398</v>
      </c>
      <c r="E291" s="2">
        <v>45440</v>
      </c>
      <c r="F291" s="2">
        <v>45453</v>
      </c>
      <c r="G291">
        <v>13</v>
      </c>
      <c r="H291" t="s">
        <v>1435</v>
      </c>
    </row>
    <row r="292" spans="1:8" x14ac:dyDescent="0.35">
      <c r="A292" t="s">
        <v>1690</v>
      </c>
      <c r="B292" t="s">
        <v>413</v>
      </c>
      <c r="C292" t="s">
        <v>1398</v>
      </c>
      <c r="D292">
        <v>9396.2000000000007</v>
      </c>
      <c r="E292" s="2">
        <v>45350</v>
      </c>
      <c r="F292" s="2">
        <v>45373</v>
      </c>
      <c r="G292">
        <v>23</v>
      </c>
      <c r="H292" t="s">
        <v>1399</v>
      </c>
    </row>
    <row r="293" spans="1:8" x14ac:dyDescent="0.35">
      <c r="A293" t="s">
        <v>1691</v>
      </c>
      <c r="B293" t="s">
        <v>1049</v>
      </c>
      <c r="C293" t="s">
        <v>1401</v>
      </c>
      <c r="D293">
        <v>7075.24</v>
      </c>
      <c r="E293" s="2">
        <v>45013</v>
      </c>
      <c r="F293" s="2">
        <v>45015</v>
      </c>
      <c r="G293">
        <v>2</v>
      </c>
      <c r="H293" t="s">
        <v>1399</v>
      </c>
    </row>
    <row r="294" spans="1:8" x14ac:dyDescent="0.35">
      <c r="A294" t="s">
        <v>1692</v>
      </c>
      <c r="B294" t="s">
        <v>429</v>
      </c>
      <c r="C294" t="s">
        <v>1398</v>
      </c>
      <c r="D294">
        <v>10077.16</v>
      </c>
      <c r="E294" s="2">
        <v>44862</v>
      </c>
      <c r="F294" s="2"/>
      <c r="H294" t="s">
        <v>1416</v>
      </c>
    </row>
    <row r="295" spans="1:8" x14ac:dyDescent="0.35">
      <c r="A295" t="s">
        <v>1693</v>
      </c>
      <c r="B295" t="s">
        <v>1157</v>
      </c>
      <c r="C295" t="s">
        <v>1394</v>
      </c>
      <c r="E295" s="2">
        <v>44620</v>
      </c>
      <c r="F295" s="2"/>
      <c r="H295" t="s">
        <v>1395</v>
      </c>
    </row>
    <row r="296" spans="1:8" x14ac:dyDescent="0.35">
      <c r="A296" t="s">
        <v>1694</v>
      </c>
      <c r="B296" t="s">
        <v>845</v>
      </c>
      <c r="C296" t="s">
        <v>1401</v>
      </c>
      <c r="D296">
        <v>29999.82</v>
      </c>
      <c r="E296" s="2">
        <v>44801</v>
      </c>
      <c r="F296" s="2">
        <v>44828</v>
      </c>
      <c r="G296">
        <v>27</v>
      </c>
      <c r="H296" t="s">
        <v>1399</v>
      </c>
    </row>
    <row r="297" spans="1:8" x14ac:dyDescent="0.35">
      <c r="A297" t="s">
        <v>1695</v>
      </c>
      <c r="B297" t="s">
        <v>920</v>
      </c>
      <c r="C297" t="s">
        <v>1398</v>
      </c>
      <c r="D297">
        <v>4192.5600000000004</v>
      </c>
      <c r="E297" s="2">
        <v>45654</v>
      </c>
      <c r="F297" s="2">
        <v>45660</v>
      </c>
      <c r="G297">
        <v>6</v>
      </c>
      <c r="H297" t="s">
        <v>1399</v>
      </c>
    </row>
    <row r="298" spans="1:8" x14ac:dyDescent="0.35">
      <c r="A298" t="s">
        <v>1696</v>
      </c>
      <c r="B298" t="s">
        <v>1311</v>
      </c>
      <c r="C298" t="s">
        <v>1394</v>
      </c>
      <c r="E298" s="2">
        <v>45288</v>
      </c>
      <c r="F298" s="2"/>
      <c r="H298" t="s">
        <v>1395</v>
      </c>
    </row>
    <row r="299" spans="1:8" x14ac:dyDescent="0.35">
      <c r="A299" t="s">
        <v>1697</v>
      </c>
      <c r="B299" t="s">
        <v>1080</v>
      </c>
      <c r="C299" t="s">
        <v>1398</v>
      </c>
      <c r="D299">
        <v>17714.77</v>
      </c>
      <c r="E299" s="2">
        <v>44832</v>
      </c>
      <c r="F299" s="2"/>
      <c r="H299" t="s">
        <v>1416</v>
      </c>
    </row>
    <row r="300" spans="1:8" x14ac:dyDescent="0.35">
      <c r="A300" t="s">
        <v>1698</v>
      </c>
      <c r="B300" t="s">
        <v>734</v>
      </c>
      <c r="C300" t="s">
        <v>1401</v>
      </c>
      <c r="D300">
        <v>2708.53</v>
      </c>
      <c r="E300" s="2">
        <v>45197</v>
      </c>
      <c r="F300" s="2">
        <v>45243</v>
      </c>
      <c r="G300">
        <v>46</v>
      </c>
      <c r="H300" t="s">
        <v>1399</v>
      </c>
    </row>
    <row r="301" spans="1:8" x14ac:dyDescent="0.35">
      <c r="A301" t="s">
        <v>1699</v>
      </c>
      <c r="B301" t="s">
        <v>620</v>
      </c>
      <c r="C301" t="s">
        <v>1398</v>
      </c>
      <c r="D301">
        <v>609.16</v>
      </c>
      <c r="E301" s="2">
        <v>44679</v>
      </c>
      <c r="F301" s="2">
        <v>44700</v>
      </c>
      <c r="G301">
        <v>21</v>
      </c>
      <c r="H301" t="s">
        <v>1399</v>
      </c>
    </row>
    <row r="302" spans="1:8" x14ac:dyDescent="0.35">
      <c r="A302" t="s">
        <v>1700</v>
      </c>
      <c r="B302" t="s">
        <v>1350</v>
      </c>
      <c r="C302" t="s">
        <v>1398</v>
      </c>
      <c r="D302">
        <v>10830.68</v>
      </c>
      <c r="E302" s="2">
        <v>45410</v>
      </c>
      <c r="F302" s="2"/>
      <c r="H302" t="s">
        <v>1416</v>
      </c>
    </row>
    <row r="303" spans="1:8" x14ac:dyDescent="0.35">
      <c r="A303" t="s">
        <v>1701</v>
      </c>
      <c r="B303" t="s">
        <v>643</v>
      </c>
      <c r="C303" t="s">
        <v>1401</v>
      </c>
      <c r="D303">
        <v>969.91</v>
      </c>
      <c r="E303" s="2">
        <v>45501</v>
      </c>
      <c r="F303" s="2">
        <v>45571</v>
      </c>
      <c r="G303">
        <v>70</v>
      </c>
      <c r="H303" t="s">
        <v>1399</v>
      </c>
    </row>
    <row r="304" spans="1:8" x14ac:dyDescent="0.35">
      <c r="A304" t="s">
        <v>1702</v>
      </c>
      <c r="B304" t="s">
        <v>1051</v>
      </c>
      <c r="C304" t="s">
        <v>1394</v>
      </c>
      <c r="E304" s="2">
        <v>44679</v>
      </c>
      <c r="F304" s="2"/>
      <c r="H304" t="s">
        <v>1395</v>
      </c>
    </row>
    <row r="305" spans="1:8" x14ac:dyDescent="0.35">
      <c r="A305" t="s">
        <v>1703</v>
      </c>
      <c r="B305" t="s">
        <v>438</v>
      </c>
      <c r="C305" t="s">
        <v>1401</v>
      </c>
      <c r="D305">
        <v>34812.879999999997</v>
      </c>
      <c r="E305" s="2">
        <v>44923</v>
      </c>
      <c r="F305" s="2">
        <v>44933</v>
      </c>
      <c r="G305">
        <v>10</v>
      </c>
      <c r="H305" t="s">
        <v>1399</v>
      </c>
    </row>
    <row r="306" spans="1:8" x14ac:dyDescent="0.35">
      <c r="A306" t="s">
        <v>1704</v>
      </c>
      <c r="B306" t="s">
        <v>894</v>
      </c>
      <c r="C306" t="s">
        <v>1398</v>
      </c>
      <c r="E306" s="2">
        <v>45227</v>
      </c>
      <c r="F306" s="2">
        <v>45236</v>
      </c>
      <c r="G306">
        <v>9</v>
      </c>
      <c r="H306" t="s">
        <v>1435</v>
      </c>
    </row>
    <row r="307" spans="1:8" x14ac:dyDescent="0.35">
      <c r="A307" t="s">
        <v>1705</v>
      </c>
      <c r="B307" t="s">
        <v>1259</v>
      </c>
      <c r="C307" t="s">
        <v>1394</v>
      </c>
      <c r="E307" s="2">
        <v>45105</v>
      </c>
      <c r="F307" s="2"/>
      <c r="H307" t="s">
        <v>1395</v>
      </c>
    </row>
    <row r="308" spans="1:8" x14ac:dyDescent="0.35">
      <c r="A308" t="s">
        <v>1706</v>
      </c>
      <c r="B308" t="s">
        <v>1253</v>
      </c>
      <c r="C308" t="s">
        <v>1394</v>
      </c>
      <c r="E308" s="2">
        <v>45074</v>
      </c>
      <c r="F308" s="2"/>
      <c r="H308" t="s">
        <v>1395</v>
      </c>
    </row>
    <row r="309" spans="1:8" x14ac:dyDescent="0.35">
      <c r="A309" t="s">
        <v>1707</v>
      </c>
      <c r="B309" t="s">
        <v>880</v>
      </c>
      <c r="C309" t="s">
        <v>1401</v>
      </c>
      <c r="D309">
        <v>29242.55</v>
      </c>
      <c r="E309" s="2">
        <v>44954</v>
      </c>
      <c r="F309" s="2">
        <v>44997</v>
      </c>
      <c r="G309">
        <v>43</v>
      </c>
      <c r="H309" t="s">
        <v>1399</v>
      </c>
    </row>
    <row r="310" spans="1:8" x14ac:dyDescent="0.35">
      <c r="A310" t="s">
        <v>1708</v>
      </c>
      <c r="B310" t="s">
        <v>791</v>
      </c>
      <c r="C310" t="s">
        <v>1394</v>
      </c>
      <c r="E310" s="2">
        <v>45501</v>
      </c>
      <c r="F310" s="2"/>
      <c r="H310" t="s">
        <v>1395</v>
      </c>
    </row>
    <row r="311" spans="1:8" x14ac:dyDescent="0.35">
      <c r="A311" t="s">
        <v>1709</v>
      </c>
      <c r="B311" t="s">
        <v>555</v>
      </c>
      <c r="C311" t="s">
        <v>1394</v>
      </c>
      <c r="E311" s="2">
        <v>45258</v>
      </c>
      <c r="F311" s="2"/>
      <c r="H311" t="s">
        <v>1395</v>
      </c>
    </row>
    <row r="312" spans="1:8" x14ac:dyDescent="0.35">
      <c r="A312" t="s">
        <v>1710</v>
      </c>
      <c r="B312" t="s">
        <v>827</v>
      </c>
      <c r="C312" t="s">
        <v>1398</v>
      </c>
      <c r="E312" s="2">
        <v>45624</v>
      </c>
      <c r="F312" s="2">
        <v>45634</v>
      </c>
      <c r="G312">
        <v>10</v>
      </c>
      <c r="H312" t="s">
        <v>1435</v>
      </c>
    </row>
    <row r="313" spans="1:8" x14ac:dyDescent="0.35">
      <c r="A313" t="s">
        <v>1711</v>
      </c>
      <c r="B313" t="s">
        <v>405</v>
      </c>
      <c r="C313" t="s">
        <v>1394</v>
      </c>
      <c r="E313" s="2">
        <v>45166</v>
      </c>
      <c r="F313" s="2"/>
      <c r="H313" t="s">
        <v>1395</v>
      </c>
    </row>
    <row r="314" spans="1:8" x14ac:dyDescent="0.35">
      <c r="A314" t="s">
        <v>1712</v>
      </c>
      <c r="B314" t="s">
        <v>647</v>
      </c>
      <c r="C314" t="s">
        <v>1398</v>
      </c>
      <c r="D314">
        <v>16489.990000000002</v>
      </c>
      <c r="E314" s="2">
        <v>45105</v>
      </c>
      <c r="F314" s="2"/>
      <c r="H314" t="s">
        <v>1416</v>
      </c>
    </row>
    <row r="315" spans="1:8" x14ac:dyDescent="0.35">
      <c r="A315" t="s">
        <v>1713</v>
      </c>
      <c r="B315" t="s">
        <v>737</v>
      </c>
      <c r="C315" t="s">
        <v>1394</v>
      </c>
      <c r="E315" s="2">
        <v>45197</v>
      </c>
      <c r="F315" s="2"/>
      <c r="H315" t="s">
        <v>1395</v>
      </c>
    </row>
    <row r="316" spans="1:8" x14ac:dyDescent="0.35">
      <c r="A316" t="s">
        <v>1714</v>
      </c>
      <c r="B316" t="s">
        <v>1161</v>
      </c>
      <c r="C316" t="s">
        <v>1394</v>
      </c>
      <c r="E316" s="2">
        <v>44589</v>
      </c>
      <c r="F316" s="2"/>
      <c r="H316" t="s">
        <v>1395</v>
      </c>
    </row>
    <row r="317" spans="1:8" x14ac:dyDescent="0.35">
      <c r="A317" t="s">
        <v>1715</v>
      </c>
      <c r="B317" t="s">
        <v>713</v>
      </c>
      <c r="C317" t="s">
        <v>1398</v>
      </c>
      <c r="D317">
        <v>13299.45</v>
      </c>
      <c r="E317" s="2">
        <v>45319</v>
      </c>
      <c r="F317" s="2">
        <v>45327</v>
      </c>
      <c r="G317">
        <v>8</v>
      </c>
      <c r="H317" t="s">
        <v>1399</v>
      </c>
    </row>
    <row r="318" spans="1:8" x14ac:dyDescent="0.35">
      <c r="A318" t="s">
        <v>1716</v>
      </c>
      <c r="B318" t="s">
        <v>806</v>
      </c>
      <c r="C318" t="s">
        <v>1394</v>
      </c>
      <c r="E318" s="2">
        <v>45410</v>
      </c>
      <c r="F318" s="2"/>
      <c r="H318" t="s">
        <v>1395</v>
      </c>
    </row>
    <row r="319" spans="1:8" x14ac:dyDescent="0.35">
      <c r="A319" t="s">
        <v>1717</v>
      </c>
      <c r="B319" t="s">
        <v>587</v>
      </c>
      <c r="C319" t="s">
        <v>1398</v>
      </c>
      <c r="D319">
        <v>9026.7199999999993</v>
      </c>
      <c r="E319" s="2">
        <v>44862</v>
      </c>
      <c r="F319" s="2"/>
      <c r="H319" t="s">
        <v>1416</v>
      </c>
    </row>
    <row r="320" spans="1:8" x14ac:dyDescent="0.35">
      <c r="A320" t="s">
        <v>1718</v>
      </c>
      <c r="B320" t="s">
        <v>1125</v>
      </c>
      <c r="C320" t="s">
        <v>1394</v>
      </c>
      <c r="E320" s="2">
        <v>44985</v>
      </c>
      <c r="F320" s="2"/>
      <c r="H320" t="s">
        <v>1395</v>
      </c>
    </row>
    <row r="321" spans="1:8" x14ac:dyDescent="0.35">
      <c r="A321" t="s">
        <v>1719</v>
      </c>
      <c r="B321" t="s">
        <v>1145</v>
      </c>
      <c r="C321" t="s">
        <v>1394</v>
      </c>
      <c r="E321" s="2">
        <v>45166</v>
      </c>
      <c r="F321" s="2"/>
      <c r="H321" t="s">
        <v>1395</v>
      </c>
    </row>
    <row r="322" spans="1:8" x14ac:dyDescent="0.35">
      <c r="A322" t="s">
        <v>1720</v>
      </c>
      <c r="B322" t="s">
        <v>416</v>
      </c>
      <c r="C322" t="s">
        <v>1394</v>
      </c>
      <c r="E322" s="2">
        <v>45013</v>
      </c>
      <c r="F322" s="2"/>
      <c r="H322" t="s">
        <v>1395</v>
      </c>
    </row>
    <row r="323" spans="1:8" x14ac:dyDescent="0.35">
      <c r="A323" t="s">
        <v>1721</v>
      </c>
      <c r="B323" t="s">
        <v>683</v>
      </c>
      <c r="C323" t="s">
        <v>1401</v>
      </c>
      <c r="D323">
        <v>17558.53</v>
      </c>
      <c r="E323" s="2">
        <v>45440</v>
      </c>
      <c r="F323" s="2">
        <v>45442</v>
      </c>
      <c r="G323">
        <v>2</v>
      </c>
      <c r="H323" t="s">
        <v>1399</v>
      </c>
    </row>
    <row r="324" spans="1:8" x14ac:dyDescent="0.35">
      <c r="A324" t="s">
        <v>1722</v>
      </c>
      <c r="B324" t="s">
        <v>692</v>
      </c>
      <c r="C324" t="s">
        <v>1401</v>
      </c>
      <c r="D324">
        <v>3107.62</v>
      </c>
      <c r="E324" s="2">
        <v>45563</v>
      </c>
      <c r="F324" s="2">
        <v>45564</v>
      </c>
      <c r="G324">
        <v>1</v>
      </c>
      <c r="H324" t="s">
        <v>1399</v>
      </c>
    </row>
    <row r="325" spans="1:8" x14ac:dyDescent="0.35">
      <c r="A325" t="s">
        <v>1723</v>
      </c>
      <c r="B325" t="s">
        <v>1017</v>
      </c>
      <c r="C325" t="s">
        <v>1398</v>
      </c>
      <c r="D325">
        <v>81</v>
      </c>
      <c r="E325" s="2">
        <v>44740</v>
      </c>
      <c r="F325" s="2">
        <v>44747</v>
      </c>
      <c r="G325">
        <v>7</v>
      </c>
      <c r="H325" t="s">
        <v>1399</v>
      </c>
    </row>
    <row r="326" spans="1:8" x14ac:dyDescent="0.35">
      <c r="A326" t="s">
        <v>1724</v>
      </c>
      <c r="B326" t="s">
        <v>820</v>
      </c>
      <c r="C326" t="s">
        <v>1401</v>
      </c>
      <c r="D326">
        <v>687.42</v>
      </c>
      <c r="E326" s="2">
        <v>45227</v>
      </c>
      <c r="F326" s="2">
        <v>45304</v>
      </c>
      <c r="G326">
        <v>77</v>
      </c>
      <c r="H326" t="s">
        <v>1399</v>
      </c>
    </row>
    <row r="327" spans="1:8" x14ac:dyDescent="0.35">
      <c r="A327" t="s">
        <v>1725</v>
      </c>
      <c r="B327" t="s">
        <v>1072</v>
      </c>
      <c r="C327" t="s">
        <v>1394</v>
      </c>
      <c r="E327" s="2">
        <v>45624</v>
      </c>
      <c r="F327" s="2"/>
      <c r="H327" t="s">
        <v>1395</v>
      </c>
    </row>
    <row r="328" spans="1:8" x14ac:dyDescent="0.35">
      <c r="A328" t="s">
        <v>1726</v>
      </c>
      <c r="B328" t="s">
        <v>946</v>
      </c>
      <c r="C328" t="s">
        <v>1401</v>
      </c>
      <c r="D328">
        <v>11835.86</v>
      </c>
      <c r="E328" s="2">
        <v>45379</v>
      </c>
      <c r="F328" s="2">
        <v>45417</v>
      </c>
      <c r="G328">
        <v>38</v>
      </c>
      <c r="H328" t="s">
        <v>1399</v>
      </c>
    </row>
    <row r="329" spans="1:8" x14ac:dyDescent="0.35">
      <c r="A329" t="s">
        <v>1727</v>
      </c>
      <c r="B329" t="s">
        <v>781</v>
      </c>
      <c r="C329" t="s">
        <v>1394</v>
      </c>
      <c r="E329" s="2">
        <v>45288</v>
      </c>
      <c r="F329" s="2"/>
      <c r="H329" t="s">
        <v>1395</v>
      </c>
    </row>
    <row r="330" spans="1:8" x14ac:dyDescent="0.35">
      <c r="A330" t="s">
        <v>1728</v>
      </c>
      <c r="B330" t="s">
        <v>1371</v>
      </c>
      <c r="C330" t="s">
        <v>1394</v>
      </c>
      <c r="E330" s="2">
        <v>45074</v>
      </c>
      <c r="F330" s="2"/>
      <c r="H330" t="s">
        <v>1395</v>
      </c>
    </row>
    <row r="331" spans="1:8" x14ac:dyDescent="0.35">
      <c r="A331" t="s">
        <v>1729</v>
      </c>
      <c r="B331" t="s">
        <v>828</v>
      </c>
      <c r="C331" t="s">
        <v>1394</v>
      </c>
      <c r="E331" s="2">
        <v>44620</v>
      </c>
      <c r="F331" s="2"/>
      <c r="H331" t="s">
        <v>1395</v>
      </c>
    </row>
    <row r="332" spans="1:8" x14ac:dyDescent="0.35">
      <c r="A332" t="s">
        <v>1730</v>
      </c>
      <c r="B332" t="s">
        <v>897</v>
      </c>
      <c r="C332" t="s">
        <v>1401</v>
      </c>
      <c r="D332">
        <v>9681.7999999999993</v>
      </c>
      <c r="E332" s="2">
        <v>45319</v>
      </c>
      <c r="F332" s="2">
        <v>45341</v>
      </c>
      <c r="G332">
        <v>22</v>
      </c>
      <c r="H332" t="s">
        <v>1399</v>
      </c>
    </row>
    <row r="333" spans="1:8" x14ac:dyDescent="0.35">
      <c r="A333" t="s">
        <v>1731</v>
      </c>
      <c r="B333" t="s">
        <v>1063</v>
      </c>
      <c r="C333" t="s">
        <v>1398</v>
      </c>
      <c r="D333">
        <v>714.45</v>
      </c>
      <c r="E333" s="2">
        <v>45044</v>
      </c>
      <c r="F333" s="2"/>
      <c r="H333" t="s">
        <v>1416</v>
      </c>
    </row>
    <row r="334" spans="1:8" x14ac:dyDescent="0.35">
      <c r="A334" t="s">
        <v>1732</v>
      </c>
      <c r="B334" t="s">
        <v>1226</v>
      </c>
      <c r="C334" t="s">
        <v>1394</v>
      </c>
      <c r="E334" s="2">
        <v>45532</v>
      </c>
      <c r="F334" s="2"/>
      <c r="H334" t="s">
        <v>1395</v>
      </c>
    </row>
    <row r="335" spans="1:8" x14ac:dyDescent="0.35">
      <c r="A335" t="s">
        <v>1733</v>
      </c>
      <c r="B335" t="s">
        <v>537</v>
      </c>
      <c r="C335" t="s">
        <v>1394</v>
      </c>
      <c r="E335" s="2">
        <v>45044</v>
      </c>
      <c r="F335" s="2"/>
      <c r="H335" t="s">
        <v>1395</v>
      </c>
    </row>
    <row r="336" spans="1:8" x14ac:dyDescent="0.35">
      <c r="A336" t="s">
        <v>1734</v>
      </c>
      <c r="B336" t="s">
        <v>808</v>
      </c>
      <c r="C336" t="s">
        <v>1398</v>
      </c>
      <c r="D336">
        <v>12909.81</v>
      </c>
      <c r="E336" s="2">
        <v>45654</v>
      </c>
      <c r="F336" s="2">
        <v>45655</v>
      </c>
      <c r="G336">
        <v>1</v>
      </c>
      <c r="H336" t="s">
        <v>1399</v>
      </c>
    </row>
    <row r="337" spans="1:8" x14ac:dyDescent="0.35">
      <c r="A337" t="s">
        <v>1735</v>
      </c>
      <c r="B337" t="s">
        <v>1124</v>
      </c>
      <c r="C337" t="s">
        <v>1401</v>
      </c>
      <c r="D337">
        <v>18440.95</v>
      </c>
      <c r="E337" s="2">
        <v>44589</v>
      </c>
      <c r="F337" s="2">
        <v>44600</v>
      </c>
      <c r="G337">
        <v>11</v>
      </c>
      <c r="H337" t="s">
        <v>1399</v>
      </c>
    </row>
    <row r="338" spans="1:8" x14ac:dyDescent="0.35">
      <c r="A338" t="s">
        <v>1736</v>
      </c>
      <c r="B338" t="s">
        <v>1045</v>
      </c>
      <c r="C338" t="s">
        <v>1401</v>
      </c>
      <c r="D338">
        <v>7691.1</v>
      </c>
      <c r="E338" s="2">
        <v>45105</v>
      </c>
      <c r="F338" s="2">
        <v>45187</v>
      </c>
      <c r="G338">
        <v>82</v>
      </c>
      <c r="H338" t="s">
        <v>1399</v>
      </c>
    </row>
    <row r="339" spans="1:8" x14ac:dyDescent="0.35">
      <c r="A339" t="s">
        <v>1737</v>
      </c>
      <c r="B339" t="s">
        <v>689</v>
      </c>
      <c r="C339" t="s">
        <v>1398</v>
      </c>
      <c r="D339">
        <v>6282.93</v>
      </c>
      <c r="E339" s="2">
        <v>45410</v>
      </c>
      <c r="F339" s="2">
        <v>45425</v>
      </c>
      <c r="G339">
        <v>15</v>
      </c>
      <c r="H339" t="s">
        <v>1399</v>
      </c>
    </row>
    <row r="340" spans="1:8" x14ac:dyDescent="0.35">
      <c r="A340" t="s">
        <v>1738</v>
      </c>
      <c r="B340" t="s">
        <v>1328</v>
      </c>
      <c r="C340" t="s">
        <v>1401</v>
      </c>
      <c r="D340">
        <v>28864.01</v>
      </c>
      <c r="E340" s="2">
        <v>45593</v>
      </c>
      <c r="F340" s="2">
        <v>45607</v>
      </c>
      <c r="G340">
        <v>14</v>
      </c>
      <c r="H340" t="s">
        <v>1399</v>
      </c>
    </row>
    <row r="341" spans="1:8" x14ac:dyDescent="0.35">
      <c r="A341" t="s">
        <v>1739</v>
      </c>
      <c r="B341" t="s">
        <v>1316</v>
      </c>
      <c r="C341" t="s">
        <v>1401</v>
      </c>
      <c r="D341">
        <v>5969.3</v>
      </c>
      <c r="E341" s="2">
        <v>45135</v>
      </c>
      <c r="F341" s="2">
        <v>45145</v>
      </c>
      <c r="G341">
        <v>10</v>
      </c>
      <c r="H341" t="s">
        <v>1399</v>
      </c>
    </row>
    <row r="342" spans="1:8" x14ac:dyDescent="0.35">
      <c r="A342" t="s">
        <v>1740</v>
      </c>
      <c r="B342" t="s">
        <v>1202</v>
      </c>
      <c r="C342" t="s">
        <v>1401</v>
      </c>
      <c r="D342">
        <v>5140.51</v>
      </c>
      <c r="E342" s="2">
        <v>44985</v>
      </c>
      <c r="F342" s="2">
        <v>44993</v>
      </c>
      <c r="G342">
        <v>8</v>
      </c>
      <c r="H342" t="s">
        <v>1399</v>
      </c>
    </row>
    <row r="343" spans="1:8" x14ac:dyDescent="0.35">
      <c r="A343" t="s">
        <v>1741</v>
      </c>
      <c r="B343" t="s">
        <v>1154</v>
      </c>
      <c r="C343" t="s">
        <v>1394</v>
      </c>
      <c r="E343" s="2">
        <v>44589</v>
      </c>
      <c r="F343" s="2"/>
      <c r="H343" t="s">
        <v>1395</v>
      </c>
    </row>
    <row r="344" spans="1:8" x14ac:dyDescent="0.35">
      <c r="A344" t="s">
        <v>1742</v>
      </c>
      <c r="B344" t="s">
        <v>908</v>
      </c>
      <c r="C344" t="s">
        <v>1398</v>
      </c>
      <c r="D344">
        <v>1169.32</v>
      </c>
      <c r="E344" s="2">
        <v>45471</v>
      </c>
      <c r="F344" s="2"/>
      <c r="H344" t="s">
        <v>1416</v>
      </c>
    </row>
    <row r="345" spans="1:8" x14ac:dyDescent="0.35">
      <c r="A345" t="s">
        <v>1743</v>
      </c>
      <c r="B345" t="s">
        <v>1144</v>
      </c>
      <c r="C345" t="s">
        <v>1398</v>
      </c>
      <c r="D345">
        <v>19000.34</v>
      </c>
      <c r="E345" s="2">
        <v>44709</v>
      </c>
      <c r="F345" s="2">
        <v>44753</v>
      </c>
      <c r="G345">
        <v>44</v>
      </c>
      <c r="H345" t="s">
        <v>1399</v>
      </c>
    </row>
    <row r="346" spans="1:8" x14ac:dyDescent="0.35">
      <c r="A346" t="s">
        <v>1744</v>
      </c>
      <c r="B346" t="s">
        <v>972</v>
      </c>
      <c r="C346" t="s">
        <v>1394</v>
      </c>
      <c r="E346" s="2">
        <v>44648</v>
      </c>
      <c r="F346" s="2"/>
      <c r="H346" t="s">
        <v>1395</v>
      </c>
    </row>
    <row r="347" spans="1:8" x14ac:dyDescent="0.35">
      <c r="A347" t="s">
        <v>1745</v>
      </c>
      <c r="B347" t="s">
        <v>900</v>
      </c>
      <c r="C347" t="s">
        <v>1398</v>
      </c>
      <c r="D347">
        <v>17418.23</v>
      </c>
      <c r="E347" s="2">
        <v>45471</v>
      </c>
      <c r="F347" s="2">
        <v>45486</v>
      </c>
      <c r="G347">
        <v>15</v>
      </c>
      <c r="H347" t="s">
        <v>1399</v>
      </c>
    </row>
    <row r="348" spans="1:8" x14ac:dyDescent="0.35">
      <c r="A348" t="s">
        <v>1746</v>
      </c>
      <c r="B348" t="s">
        <v>499</v>
      </c>
      <c r="C348" t="s">
        <v>1394</v>
      </c>
      <c r="E348" s="2">
        <v>44770</v>
      </c>
      <c r="F348" s="2"/>
      <c r="H348" t="s">
        <v>1395</v>
      </c>
    </row>
    <row r="349" spans="1:8" x14ac:dyDescent="0.35">
      <c r="A349" t="s">
        <v>1747</v>
      </c>
      <c r="B349" t="s">
        <v>695</v>
      </c>
      <c r="C349" t="s">
        <v>1394</v>
      </c>
      <c r="E349" s="2">
        <v>44709</v>
      </c>
      <c r="F349" s="2"/>
      <c r="H349" t="s">
        <v>1395</v>
      </c>
    </row>
    <row r="350" spans="1:8" x14ac:dyDescent="0.35">
      <c r="A350" t="s">
        <v>1748</v>
      </c>
      <c r="B350" t="s">
        <v>892</v>
      </c>
      <c r="C350" t="s">
        <v>1398</v>
      </c>
      <c r="D350">
        <v>15419.48</v>
      </c>
      <c r="E350" s="2">
        <v>45258</v>
      </c>
      <c r="F350" s="2">
        <v>45269</v>
      </c>
      <c r="G350">
        <v>11</v>
      </c>
      <c r="H350" t="s">
        <v>1399</v>
      </c>
    </row>
    <row r="351" spans="1:8" x14ac:dyDescent="0.35">
      <c r="A351" t="s">
        <v>1749</v>
      </c>
      <c r="B351" t="s">
        <v>609</v>
      </c>
      <c r="C351" t="s">
        <v>1398</v>
      </c>
      <c r="D351">
        <v>17314</v>
      </c>
      <c r="E351" s="2">
        <v>45379</v>
      </c>
      <c r="F351" s="2">
        <v>45384</v>
      </c>
      <c r="G351">
        <v>5</v>
      </c>
      <c r="H351" t="s">
        <v>1399</v>
      </c>
    </row>
    <row r="352" spans="1:8" x14ac:dyDescent="0.35">
      <c r="A352" t="s">
        <v>1750</v>
      </c>
      <c r="B352" t="s">
        <v>710</v>
      </c>
      <c r="C352" t="s">
        <v>1401</v>
      </c>
      <c r="D352">
        <v>10839.17</v>
      </c>
      <c r="E352" s="2">
        <v>44923</v>
      </c>
      <c r="F352" s="2">
        <v>44931</v>
      </c>
      <c r="G352">
        <v>8</v>
      </c>
      <c r="H352" t="s">
        <v>1399</v>
      </c>
    </row>
    <row r="353" spans="1:8" x14ac:dyDescent="0.35">
      <c r="A353" t="s">
        <v>1751</v>
      </c>
      <c r="B353" t="s">
        <v>762</v>
      </c>
      <c r="C353" t="s">
        <v>1394</v>
      </c>
      <c r="E353" s="2">
        <v>44985</v>
      </c>
      <c r="F353" s="2"/>
      <c r="H353" t="s">
        <v>1395</v>
      </c>
    </row>
    <row r="354" spans="1:8" x14ac:dyDescent="0.35">
      <c r="A354" t="s">
        <v>1752</v>
      </c>
      <c r="B354" t="s">
        <v>1152</v>
      </c>
      <c r="C354" t="s">
        <v>1398</v>
      </c>
      <c r="D354">
        <v>11823.59</v>
      </c>
      <c r="E354" s="2">
        <v>45044</v>
      </c>
      <c r="F354" s="2">
        <v>45048</v>
      </c>
      <c r="G354">
        <v>4</v>
      </c>
      <c r="H354" t="s">
        <v>1399</v>
      </c>
    </row>
    <row r="355" spans="1:8" x14ac:dyDescent="0.35">
      <c r="A355" t="s">
        <v>1753</v>
      </c>
      <c r="B355" t="s">
        <v>497</v>
      </c>
      <c r="C355" t="s">
        <v>1401</v>
      </c>
      <c r="D355">
        <v>12414.22</v>
      </c>
      <c r="E355" s="2">
        <v>45379</v>
      </c>
      <c r="F355" s="2">
        <v>45388</v>
      </c>
      <c r="G355">
        <v>9</v>
      </c>
      <c r="H355" t="s">
        <v>1399</v>
      </c>
    </row>
    <row r="356" spans="1:8" x14ac:dyDescent="0.35">
      <c r="A356" t="s">
        <v>1754</v>
      </c>
      <c r="B356" t="s">
        <v>1075</v>
      </c>
      <c r="C356" t="s">
        <v>1394</v>
      </c>
      <c r="E356" s="2">
        <v>44832</v>
      </c>
      <c r="F356" s="2"/>
      <c r="H356" t="s">
        <v>1395</v>
      </c>
    </row>
    <row r="357" spans="1:8" x14ac:dyDescent="0.35">
      <c r="A357" t="s">
        <v>1755</v>
      </c>
      <c r="B357" t="s">
        <v>1302</v>
      </c>
      <c r="C357" t="s">
        <v>1394</v>
      </c>
      <c r="E357" s="2">
        <v>45379</v>
      </c>
      <c r="F357" s="2"/>
      <c r="H357" t="s">
        <v>1395</v>
      </c>
    </row>
    <row r="358" spans="1:8" x14ac:dyDescent="0.35">
      <c r="A358" t="s">
        <v>1756</v>
      </c>
      <c r="B358" t="s">
        <v>722</v>
      </c>
      <c r="C358" t="s">
        <v>1401</v>
      </c>
      <c r="D358">
        <v>4540.8</v>
      </c>
      <c r="E358" s="2">
        <v>45044</v>
      </c>
      <c r="F358" s="2">
        <v>45046</v>
      </c>
      <c r="G358">
        <v>2</v>
      </c>
      <c r="H358" t="s">
        <v>1399</v>
      </c>
    </row>
    <row r="359" spans="1:8" x14ac:dyDescent="0.35">
      <c r="A359" t="s">
        <v>1757</v>
      </c>
      <c r="B359" t="s">
        <v>1117</v>
      </c>
      <c r="C359" t="s">
        <v>1394</v>
      </c>
      <c r="E359" s="2">
        <v>44648</v>
      </c>
      <c r="F359" s="2"/>
      <c r="H359" t="s">
        <v>1395</v>
      </c>
    </row>
    <row r="360" spans="1:8" x14ac:dyDescent="0.35">
      <c r="A360" t="s">
        <v>1758</v>
      </c>
      <c r="B360" t="s">
        <v>1133</v>
      </c>
      <c r="C360" t="s">
        <v>1401</v>
      </c>
      <c r="D360">
        <v>29251.65</v>
      </c>
      <c r="E360" s="2">
        <v>45227</v>
      </c>
      <c r="F360" s="2">
        <v>45240</v>
      </c>
      <c r="G360">
        <v>13</v>
      </c>
      <c r="H360" t="s">
        <v>1399</v>
      </c>
    </row>
    <row r="361" spans="1:8" x14ac:dyDescent="0.35">
      <c r="A361" t="s">
        <v>1759</v>
      </c>
      <c r="B361" t="s">
        <v>1338</v>
      </c>
      <c r="C361" t="s">
        <v>1394</v>
      </c>
      <c r="E361" s="2">
        <v>45654</v>
      </c>
      <c r="F361" s="2"/>
      <c r="H361" t="s">
        <v>1395</v>
      </c>
    </row>
    <row r="362" spans="1:8" x14ac:dyDescent="0.35">
      <c r="A362" t="s">
        <v>1760</v>
      </c>
      <c r="B362" t="s">
        <v>542</v>
      </c>
      <c r="C362" t="s">
        <v>1394</v>
      </c>
      <c r="E362" s="2">
        <v>44740</v>
      </c>
      <c r="F362" s="2"/>
      <c r="H362" t="s">
        <v>1395</v>
      </c>
    </row>
    <row r="363" spans="1:8" x14ac:dyDescent="0.35">
      <c r="A363" t="s">
        <v>1761</v>
      </c>
      <c r="B363" t="s">
        <v>602</v>
      </c>
      <c r="C363" t="s">
        <v>1394</v>
      </c>
      <c r="E363" s="2">
        <v>45350</v>
      </c>
      <c r="F363" s="2"/>
      <c r="H363" t="s">
        <v>1395</v>
      </c>
    </row>
    <row r="364" spans="1:8" x14ac:dyDescent="0.35">
      <c r="A364" t="s">
        <v>1762</v>
      </c>
      <c r="B364" t="s">
        <v>611</v>
      </c>
      <c r="C364" t="s">
        <v>1394</v>
      </c>
      <c r="E364" s="2">
        <v>44589</v>
      </c>
      <c r="F364" s="2"/>
      <c r="H364" t="s">
        <v>1395</v>
      </c>
    </row>
    <row r="365" spans="1:8" x14ac:dyDescent="0.35">
      <c r="A365" t="s">
        <v>1763</v>
      </c>
      <c r="B365" t="s">
        <v>1322</v>
      </c>
      <c r="C365" t="s">
        <v>1394</v>
      </c>
      <c r="E365" s="2">
        <v>45044</v>
      </c>
      <c r="F365" s="2"/>
      <c r="H365" t="s">
        <v>1395</v>
      </c>
    </row>
    <row r="366" spans="1:8" x14ac:dyDescent="0.35">
      <c r="A366" t="s">
        <v>1764</v>
      </c>
      <c r="B366" t="s">
        <v>1354</v>
      </c>
      <c r="C366" t="s">
        <v>1401</v>
      </c>
      <c r="D366">
        <v>28529.97</v>
      </c>
      <c r="E366" s="2">
        <v>45074</v>
      </c>
      <c r="F366" s="2">
        <v>45088</v>
      </c>
      <c r="G366">
        <v>14</v>
      </c>
      <c r="H366" t="s">
        <v>1399</v>
      </c>
    </row>
    <row r="367" spans="1:8" x14ac:dyDescent="0.35">
      <c r="A367" t="s">
        <v>1765</v>
      </c>
      <c r="B367" t="s">
        <v>1325</v>
      </c>
      <c r="C367" t="s">
        <v>1398</v>
      </c>
      <c r="E367" s="2">
        <v>44801</v>
      </c>
      <c r="F367" s="2">
        <v>44805</v>
      </c>
      <c r="G367">
        <v>4</v>
      </c>
      <c r="H367" t="s">
        <v>1435</v>
      </c>
    </row>
    <row r="368" spans="1:8" x14ac:dyDescent="0.35">
      <c r="A368" t="s">
        <v>1766</v>
      </c>
      <c r="B368" t="s">
        <v>997</v>
      </c>
      <c r="C368" t="s">
        <v>1401</v>
      </c>
      <c r="D368">
        <v>32391.54</v>
      </c>
      <c r="E368" s="2">
        <v>45654</v>
      </c>
      <c r="F368" s="2">
        <v>45678</v>
      </c>
      <c r="G368">
        <v>24</v>
      </c>
      <c r="H368" t="s">
        <v>1399</v>
      </c>
    </row>
    <row r="369" spans="1:8" x14ac:dyDescent="0.35">
      <c r="A369" t="s">
        <v>1767</v>
      </c>
      <c r="B369" t="s">
        <v>1270</v>
      </c>
      <c r="C369" t="s">
        <v>1398</v>
      </c>
      <c r="D369">
        <v>13804.36</v>
      </c>
      <c r="E369" s="2">
        <v>45624</v>
      </c>
      <c r="F369" s="2">
        <v>45635</v>
      </c>
      <c r="G369">
        <v>11</v>
      </c>
      <c r="H369" t="s">
        <v>1399</v>
      </c>
    </row>
    <row r="370" spans="1:8" x14ac:dyDescent="0.35">
      <c r="A370" t="s">
        <v>1768</v>
      </c>
      <c r="B370" t="s">
        <v>765</v>
      </c>
      <c r="C370" t="s">
        <v>1398</v>
      </c>
      <c r="D370">
        <v>2320.85</v>
      </c>
      <c r="E370" s="2">
        <v>45319</v>
      </c>
      <c r="F370" s="2">
        <v>45385</v>
      </c>
      <c r="G370">
        <v>66</v>
      </c>
      <c r="H370" t="s">
        <v>1399</v>
      </c>
    </row>
    <row r="371" spans="1:8" x14ac:dyDescent="0.35">
      <c r="A371" t="s">
        <v>1769</v>
      </c>
      <c r="B371" t="s">
        <v>736</v>
      </c>
      <c r="C371" t="s">
        <v>1398</v>
      </c>
      <c r="D371">
        <v>6020.84</v>
      </c>
      <c r="E371" s="2">
        <v>45166</v>
      </c>
      <c r="F371" s="2">
        <v>45215</v>
      </c>
      <c r="G371">
        <v>49</v>
      </c>
      <c r="H371" t="s">
        <v>1399</v>
      </c>
    </row>
    <row r="372" spans="1:8" x14ac:dyDescent="0.35">
      <c r="A372" t="s">
        <v>1770</v>
      </c>
      <c r="B372" t="s">
        <v>1156</v>
      </c>
      <c r="C372" t="s">
        <v>1398</v>
      </c>
      <c r="D372">
        <v>16729.2</v>
      </c>
      <c r="E372" s="2">
        <v>45440</v>
      </c>
      <c r="F372" s="2">
        <v>45466</v>
      </c>
      <c r="G372">
        <v>26</v>
      </c>
      <c r="H372" t="s">
        <v>1399</v>
      </c>
    </row>
    <row r="373" spans="1:8" x14ac:dyDescent="0.35">
      <c r="A373" t="s">
        <v>1771</v>
      </c>
      <c r="B373" t="s">
        <v>548</v>
      </c>
      <c r="C373" t="s">
        <v>1394</v>
      </c>
      <c r="E373" s="2">
        <v>45654</v>
      </c>
      <c r="F373" s="2"/>
      <c r="H373" t="s">
        <v>1395</v>
      </c>
    </row>
    <row r="374" spans="1:8" x14ac:dyDescent="0.35">
      <c r="A374" t="s">
        <v>1772</v>
      </c>
      <c r="B374" t="s">
        <v>564</v>
      </c>
      <c r="C374" t="s">
        <v>1401</v>
      </c>
      <c r="D374">
        <v>35613.69</v>
      </c>
      <c r="E374" s="2">
        <v>45074</v>
      </c>
      <c r="F374" s="2">
        <v>45093</v>
      </c>
      <c r="G374">
        <v>19</v>
      </c>
      <c r="H374" t="s">
        <v>1399</v>
      </c>
    </row>
    <row r="375" spans="1:8" x14ac:dyDescent="0.35">
      <c r="A375" t="s">
        <v>1773</v>
      </c>
      <c r="B375" t="s">
        <v>723</v>
      </c>
      <c r="C375" t="s">
        <v>1401</v>
      </c>
      <c r="D375">
        <v>34607.08</v>
      </c>
      <c r="E375" s="2">
        <v>45074</v>
      </c>
      <c r="F375" s="2">
        <v>45108</v>
      </c>
      <c r="G375">
        <v>34</v>
      </c>
      <c r="H375" t="s">
        <v>1399</v>
      </c>
    </row>
    <row r="376" spans="1:8" x14ac:dyDescent="0.35">
      <c r="A376" t="s">
        <v>1774</v>
      </c>
      <c r="B376" t="s">
        <v>1163</v>
      </c>
      <c r="C376" t="s">
        <v>1398</v>
      </c>
      <c r="D376">
        <v>10451.290000000001</v>
      </c>
      <c r="E376" s="2">
        <v>44620</v>
      </c>
      <c r="F376" s="2"/>
      <c r="H376" t="s">
        <v>1416</v>
      </c>
    </row>
    <row r="377" spans="1:8" x14ac:dyDescent="0.35">
      <c r="A377" t="s">
        <v>1775</v>
      </c>
      <c r="B377" t="s">
        <v>738</v>
      </c>
      <c r="C377" t="s">
        <v>1394</v>
      </c>
      <c r="E377" s="2">
        <v>45350</v>
      </c>
      <c r="F377" s="2"/>
      <c r="H377" t="s">
        <v>1395</v>
      </c>
    </row>
    <row r="378" spans="1:8" x14ac:dyDescent="0.35">
      <c r="A378" t="s">
        <v>1776</v>
      </c>
      <c r="B378" t="s">
        <v>1029</v>
      </c>
      <c r="C378" t="s">
        <v>1394</v>
      </c>
      <c r="E378" s="2">
        <v>44740</v>
      </c>
      <c r="F378" s="2"/>
      <c r="H378" t="s">
        <v>1395</v>
      </c>
    </row>
    <row r="379" spans="1:8" x14ac:dyDescent="0.35">
      <c r="A379" t="s">
        <v>1777</v>
      </c>
      <c r="B379" t="s">
        <v>1201</v>
      </c>
      <c r="C379" t="s">
        <v>1398</v>
      </c>
      <c r="D379">
        <v>336.68</v>
      </c>
      <c r="E379" s="2">
        <v>45044</v>
      </c>
      <c r="F379" s="2">
        <v>45056</v>
      </c>
      <c r="G379">
        <v>12</v>
      </c>
      <c r="H379" t="s">
        <v>1399</v>
      </c>
    </row>
    <row r="380" spans="1:8" x14ac:dyDescent="0.35">
      <c r="A380" t="s">
        <v>1778</v>
      </c>
      <c r="B380" t="s">
        <v>617</v>
      </c>
      <c r="C380" t="s">
        <v>1394</v>
      </c>
      <c r="E380" s="2">
        <v>45654</v>
      </c>
      <c r="F380" s="2"/>
      <c r="H380" t="s">
        <v>1395</v>
      </c>
    </row>
    <row r="381" spans="1:8" x14ac:dyDescent="0.35">
      <c r="A381" t="s">
        <v>1779</v>
      </c>
      <c r="B381" t="s">
        <v>755</v>
      </c>
      <c r="C381" t="s">
        <v>1398</v>
      </c>
      <c r="D381">
        <v>14750.57</v>
      </c>
      <c r="E381" s="2">
        <v>45624</v>
      </c>
      <c r="F381" s="2">
        <v>45632</v>
      </c>
      <c r="G381">
        <v>8</v>
      </c>
      <c r="H381" t="s">
        <v>1399</v>
      </c>
    </row>
    <row r="382" spans="1:8" x14ac:dyDescent="0.35">
      <c r="A382" t="s">
        <v>1780</v>
      </c>
      <c r="B382" t="s">
        <v>551</v>
      </c>
      <c r="C382" t="s">
        <v>1398</v>
      </c>
      <c r="D382">
        <v>9862.25</v>
      </c>
      <c r="E382" s="2">
        <v>45532</v>
      </c>
      <c r="F382" s="2">
        <v>45545</v>
      </c>
      <c r="G382">
        <v>13</v>
      </c>
      <c r="H382" t="s">
        <v>1399</v>
      </c>
    </row>
    <row r="383" spans="1:8" x14ac:dyDescent="0.35">
      <c r="A383" t="s">
        <v>1781</v>
      </c>
      <c r="B383" t="s">
        <v>1258</v>
      </c>
      <c r="C383" t="s">
        <v>1398</v>
      </c>
      <c r="D383">
        <v>7610.83</v>
      </c>
      <c r="E383" s="2">
        <v>45258</v>
      </c>
      <c r="F383" s="2">
        <v>45292</v>
      </c>
      <c r="G383">
        <v>34</v>
      </c>
      <c r="H383" t="s">
        <v>1399</v>
      </c>
    </row>
    <row r="384" spans="1:8" x14ac:dyDescent="0.35">
      <c r="A384" t="s">
        <v>1782</v>
      </c>
      <c r="B384" t="s">
        <v>957</v>
      </c>
      <c r="C384" t="s">
        <v>1394</v>
      </c>
      <c r="E384" s="2">
        <v>45350</v>
      </c>
      <c r="F384" s="2"/>
      <c r="H384" t="s">
        <v>1395</v>
      </c>
    </row>
    <row r="385" spans="1:8" x14ac:dyDescent="0.35">
      <c r="A385" t="s">
        <v>1783</v>
      </c>
      <c r="B385" t="s">
        <v>666</v>
      </c>
      <c r="C385" t="s">
        <v>1394</v>
      </c>
      <c r="E385" s="2">
        <v>45350</v>
      </c>
      <c r="F385" s="2"/>
      <c r="H385" t="s">
        <v>1395</v>
      </c>
    </row>
    <row r="386" spans="1:8" x14ac:dyDescent="0.35">
      <c r="A386" t="s">
        <v>1784</v>
      </c>
      <c r="B386" t="s">
        <v>644</v>
      </c>
      <c r="C386" t="s">
        <v>1398</v>
      </c>
      <c r="D386">
        <v>13130.51</v>
      </c>
      <c r="E386" s="2">
        <v>45563</v>
      </c>
      <c r="F386" s="2">
        <v>45569</v>
      </c>
      <c r="G386">
        <v>6</v>
      </c>
      <c r="H386" t="s">
        <v>1399</v>
      </c>
    </row>
    <row r="387" spans="1:8" x14ac:dyDescent="0.35">
      <c r="A387" t="s">
        <v>1785</v>
      </c>
      <c r="B387" t="s">
        <v>769</v>
      </c>
      <c r="C387" t="s">
        <v>1398</v>
      </c>
      <c r="D387">
        <v>2975.91</v>
      </c>
      <c r="E387" s="2">
        <v>45440</v>
      </c>
      <c r="F387" s="2">
        <v>45442</v>
      </c>
      <c r="G387">
        <v>2</v>
      </c>
      <c r="H387" t="s">
        <v>1399</v>
      </c>
    </row>
    <row r="388" spans="1:8" x14ac:dyDescent="0.35">
      <c r="A388" t="s">
        <v>1786</v>
      </c>
      <c r="B388" t="s">
        <v>411</v>
      </c>
      <c r="C388" t="s">
        <v>1401</v>
      </c>
      <c r="D388">
        <v>36363.79</v>
      </c>
      <c r="E388" s="2">
        <v>45044</v>
      </c>
      <c r="F388" s="2">
        <v>45055</v>
      </c>
      <c r="G388">
        <v>11</v>
      </c>
      <c r="H388" t="s">
        <v>1399</v>
      </c>
    </row>
    <row r="389" spans="1:8" x14ac:dyDescent="0.35">
      <c r="A389" t="s">
        <v>1787</v>
      </c>
      <c r="B389" t="s">
        <v>778</v>
      </c>
      <c r="C389" t="s">
        <v>1394</v>
      </c>
      <c r="E389" s="2">
        <v>44679</v>
      </c>
      <c r="F389" s="2"/>
      <c r="H389" t="s">
        <v>1395</v>
      </c>
    </row>
    <row r="390" spans="1:8" x14ac:dyDescent="0.35">
      <c r="A390" t="s">
        <v>1788</v>
      </c>
      <c r="B390" t="s">
        <v>1130</v>
      </c>
      <c r="C390" t="s">
        <v>1394</v>
      </c>
      <c r="E390" s="2">
        <v>45258</v>
      </c>
      <c r="F390" s="2"/>
      <c r="H390" t="s">
        <v>1395</v>
      </c>
    </row>
    <row r="391" spans="1:8" x14ac:dyDescent="0.35">
      <c r="A391" t="s">
        <v>1789</v>
      </c>
      <c r="B391" t="s">
        <v>672</v>
      </c>
      <c r="C391" t="s">
        <v>1398</v>
      </c>
      <c r="D391">
        <v>15845.81</v>
      </c>
      <c r="E391" s="2">
        <v>44954</v>
      </c>
      <c r="F391" s="2">
        <v>44982</v>
      </c>
      <c r="G391">
        <v>28</v>
      </c>
      <c r="H391" t="s">
        <v>1399</v>
      </c>
    </row>
    <row r="392" spans="1:8" x14ac:dyDescent="0.35">
      <c r="A392" t="s">
        <v>1790</v>
      </c>
      <c r="B392" t="s">
        <v>883</v>
      </c>
      <c r="C392" t="s">
        <v>1398</v>
      </c>
      <c r="D392">
        <v>6631.39</v>
      </c>
      <c r="E392" s="2">
        <v>44648</v>
      </c>
      <c r="F392" s="2">
        <v>44723</v>
      </c>
      <c r="G392">
        <v>75</v>
      </c>
      <c r="H392" t="s">
        <v>1399</v>
      </c>
    </row>
    <row r="393" spans="1:8" x14ac:dyDescent="0.35">
      <c r="A393" t="s">
        <v>1791</v>
      </c>
      <c r="B393" t="s">
        <v>864</v>
      </c>
      <c r="C393" t="s">
        <v>1398</v>
      </c>
      <c r="D393">
        <v>5618.47</v>
      </c>
      <c r="E393" s="2">
        <v>45288</v>
      </c>
      <c r="F393" s="2">
        <v>45291</v>
      </c>
      <c r="G393">
        <v>3</v>
      </c>
      <c r="H393" t="s">
        <v>1399</v>
      </c>
    </row>
    <row r="394" spans="1:8" x14ac:dyDescent="0.35">
      <c r="A394" t="s">
        <v>1792</v>
      </c>
      <c r="B394" t="s">
        <v>419</v>
      </c>
      <c r="C394" t="s">
        <v>1394</v>
      </c>
      <c r="E394" s="2">
        <v>45166</v>
      </c>
      <c r="F394" s="2"/>
      <c r="H394" t="s">
        <v>1395</v>
      </c>
    </row>
    <row r="395" spans="1:8" x14ac:dyDescent="0.35">
      <c r="A395" t="s">
        <v>1793</v>
      </c>
      <c r="B395" t="s">
        <v>867</v>
      </c>
      <c r="C395" t="s">
        <v>1398</v>
      </c>
      <c r="D395">
        <v>14904.49</v>
      </c>
      <c r="E395" s="2">
        <v>45105</v>
      </c>
      <c r="F395" s="2">
        <v>45131</v>
      </c>
      <c r="G395">
        <v>26</v>
      </c>
      <c r="H395" t="s">
        <v>1399</v>
      </c>
    </row>
    <row r="396" spans="1:8" x14ac:dyDescent="0.35">
      <c r="A396" t="s">
        <v>1794</v>
      </c>
      <c r="B396" t="s">
        <v>592</v>
      </c>
      <c r="C396" t="s">
        <v>1398</v>
      </c>
      <c r="D396">
        <v>4569.76</v>
      </c>
      <c r="E396" s="2">
        <v>44923</v>
      </c>
      <c r="F396" s="2">
        <v>44933</v>
      </c>
      <c r="G396">
        <v>10</v>
      </c>
      <c r="H396" t="s">
        <v>1399</v>
      </c>
    </row>
    <row r="397" spans="1:8" x14ac:dyDescent="0.35">
      <c r="A397" t="s">
        <v>1795</v>
      </c>
      <c r="B397" t="s">
        <v>842</v>
      </c>
      <c r="C397" t="s">
        <v>1398</v>
      </c>
      <c r="D397">
        <v>17063.55</v>
      </c>
      <c r="E397" s="2">
        <v>45563</v>
      </c>
      <c r="F397" s="2">
        <v>45567</v>
      </c>
      <c r="G397">
        <v>4</v>
      </c>
      <c r="H397" t="s">
        <v>1399</v>
      </c>
    </row>
    <row r="398" spans="1:8" x14ac:dyDescent="0.35">
      <c r="A398" t="s">
        <v>1796</v>
      </c>
      <c r="B398" t="s">
        <v>489</v>
      </c>
      <c r="C398" t="s">
        <v>1398</v>
      </c>
      <c r="D398">
        <v>4177.8599999999997</v>
      </c>
      <c r="E398" s="2">
        <v>44770</v>
      </c>
      <c r="F398" s="2"/>
      <c r="H398" t="s">
        <v>1416</v>
      </c>
    </row>
    <row r="399" spans="1:8" x14ac:dyDescent="0.35">
      <c r="A399" t="s">
        <v>1797</v>
      </c>
      <c r="B399" t="s">
        <v>1193</v>
      </c>
      <c r="C399" t="s">
        <v>1398</v>
      </c>
      <c r="D399">
        <v>14397.05</v>
      </c>
      <c r="E399" s="2">
        <v>44589</v>
      </c>
      <c r="F399" s="2"/>
      <c r="H399" t="s">
        <v>1416</v>
      </c>
    </row>
    <row r="400" spans="1:8" x14ac:dyDescent="0.35">
      <c r="A400" t="s">
        <v>1798</v>
      </c>
      <c r="B400" t="s">
        <v>1064</v>
      </c>
      <c r="C400" t="s">
        <v>1398</v>
      </c>
      <c r="D400">
        <v>4550.49</v>
      </c>
      <c r="E400" s="2">
        <v>45654</v>
      </c>
      <c r="F400" s="2"/>
      <c r="H400" t="s">
        <v>1416</v>
      </c>
    </row>
    <row r="401" spans="1:8" x14ac:dyDescent="0.35">
      <c r="A401" t="s">
        <v>1799</v>
      </c>
      <c r="B401" t="s">
        <v>1077</v>
      </c>
      <c r="C401" t="s">
        <v>1394</v>
      </c>
      <c r="E401" s="2">
        <v>45563</v>
      </c>
      <c r="F401" s="2"/>
      <c r="H401" t="s">
        <v>1395</v>
      </c>
    </row>
    <row r="402" spans="1:8" x14ac:dyDescent="0.35">
      <c r="A402" t="s">
        <v>1800</v>
      </c>
      <c r="B402" t="s">
        <v>488</v>
      </c>
      <c r="C402" t="s">
        <v>1394</v>
      </c>
      <c r="E402" s="2">
        <v>45105</v>
      </c>
      <c r="F402" s="2"/>
      <c r="H402" t="s">
        <v>1395</v>
      </c>
    </row>
    <row r="403" spans="1:8" x14ac:dyDescent="0.35">
      <c r="A403" t="s">
        <v>1801</v>
      </c>
      <c r="B403" t="s">
        <v>718</v>
      </c>
      <c r="C403" t="s">
        <v>1401</v>
      </c>
      <c r="D403">
        <v>13458.61</v>
      </c>
      <c r="E403" s="2">
        <v>45624</v>
      </c>
      <c r="F403" s="2">
        <v>45636</v>
      </c>
      <c r="G403">
        <v>12</v>
      </c>
      <c r="H403" t="s">
        <v>1399</v>
      </c>
    </row>
    <row r="404" spans="1:8" x14ac:dyDescent="0.35">
      <c r="A404" t="s">
        <v>1802</v>
      </c>
      <c r="B404" t="s">
        <v>1146</v>
      </c>
      <c r="C404" t="s">
        <v>1401</v>
      </c>
      <c r="D404">
        <v>33685.74</v>
      </c>
      <c r="E404" s="2">
        <v>44620</v>
      </c>
      <c r="F404" s="2">
        <v>44631</v>
      </c>
      <c r="G404">
        <v>11</v>
      </c>
      <c r="H404" t="s">
        <v>1399</v>
      </c>
    </row>
    <row r="405" spans="1:8" x14ac:dyDescent="0.35">
      <c r="A405" t="s">
        <v>1803</v>
      </c>
      <c r="B405" t="s">
        <v>685</v>
      </c>
      <c r="C405" t="s">
        <v>1401</v>
      </c>
      <c r="D405">
        <v>11729.36</v>
      </c>
      <c r="E405" s="2">
        <v>44893</v>
      </c>
      <c r="F405" s="2">
        <v>44903</v>
      </c>
      <c r="G405">
        <v>10</v>
      </c>
      <c r="H405" t="s">
        <v>1399</v>
      </c>
    </row>
    <row r="406" spans="1:8" x14ac:dyDescent="0.35">
      <c r="A406" t="s">
        <v>1804</v>
      </c>
      <c r="B406" t="s">
        <v>913</v>
      </c>
      <c r="C406" t="s">
        <v>1398</v>
      </c>
      <c r="E406" s="2">
        <v>44589</v>
      </c>
      <c r="F406" s="2">
        <v>44597</v>
      </c>
      <c r="G406">
        <v>8</v>
      </c>
      <c r="H406" t="s">
        <v>1435</v>
      </c>
    </row>
    <row r="407" spans="1:8" x14ac:dyDescent="0.35">
      <c r="A407" t="s">
        <v>1805</v>
      </c>
      <c r="B407" t="s">
        <v>1344</v>
      </c>
      <c r="C407" t="s">
        <v>1394</v>
      </c>
      <c r="E407" s="2">
        <v>44589</v>
      </c>
      <c r="F407" s="2"/>
      <c r="H407" t="s">
        <v>1395</v>
      </c>
    </row>
    <row r="408" spans="1:8" x14ac:dyDescent="0.35">
      <c r="A408" t="s">
        <v>1806</v>
      </c>
      <c r="B408" t="s">
        <v>861</v>
      </c>
      <c r="C408" t="s">
        <v>1398</v>
      </c>
      <c r="D408">
        <v>17588.439999999999</v>
      </c>
      <c r="E408" s="2">
        <v>45350</v>
      </c>
      <c r="F408" s="2">
        <v>45382</v>
      </c>
      <c r="G408">
        <v>32</v>
      </c>
      <c r="H408" t="s">
        <v>1399</v>
      </c>
    </row>
    <row r="409" spans="1:8" x14ac:dyDescent="0.35">
      <c r="A409" t="s">
        <v>1807</v>
      </c>
      <c r="B409" t="s">
        <v>775</v>
      </c>
      <c r="C409" t="s">
        <v>1401</v>
      </c>
      <c r="D409">
        <v>18719.150000000001</v>
      </c>
      <c r="E409" s="2">
        <v>45135</v>
      </c>
      <c r="F409" s="2">
        <v>45148</v>
      </c>
      <c r="G409">
        <v>13</v>
      </c>
      <c r="H409" t="s">
        <v>1399</v>
      </c>
    </row>
    <row r="410" spans="1:8" x14ac:dyDescent="0.35">
      <c r="A410" t="s">
        <v>1808</v>
      </c>
      <c r="B410" t="s">
        <v>1210</v>
      </c>
      <c r="C410" t="s">
        <v>1401</v>
      </c>
      <c r="D410">
        <v>3326.25</v>
      </c>
      <c r="E410" s="2">
        <v>45013</v>
      </c>
      <c r="F410" s="2">
        <v>45020</v>
      </c>
      <c r="G410">
        <v>7</v>
      </c>
      <c r="H410" t="s">
        <v>1399</v>
      </c>
    </row>
    <row r="411" spans="1:8" x14ac:dyDescent="0.35">
      <c r="A411" t="s">
        <v>1809</v>
      </c>
      <c r="B411" t="s">
        <v>882</v>
      </c>
      <c r="C411" t="s">
        <v>1394</v>
      </c>
      <c r="E411" s="2">
        <v>44709</v>
      </c>
      <c r="F411" s="2"/>
      <c r="H411" t="s">
        <v>1395</v>
      </c>
    </row>
    <row r="412" spans="1:8" x14ac:dyDescent="0.35">
      <c r="A412" t="s">
        <v>1810</v>
      </c>
      <c r="B412" t="s">
        <v>799</v>
      </c>
      <c r="C412" t="s">
        <v>1398</v>
      </c>
      <c r="D412">
        <v>15185.81</v>
      </c>
      <c r="E412" s="2">
        <v>45258</v>
      </c>
      <c r="F412" s="2">
        <v>45259</v>
      </c>
      <c r="G412">
        <v>1</v>
      </c>
      <c r="H412" t="s">
        <v>1399</v>
      </c>
    </row>
    <row r="413" spans="1:8" x14ac:dyDescent="0.35">
      <c r="A413" t="s">
        <v>1811</v>
      </c>
      <c r="B413" t="s">
        <v>527</v>
      </c>
      <c r="C413" t="s">
        <v>1401</v>
      </c>
      <c r="D413">
        <v>6278.58</v>
      </c>
      <c r="E413" s="2">
        <v>45013</v>
      </c>
      <c r="F413" s="2">
        <v>45028</v>
      </c>
      <c r="G413">
        <v>15</v>
      </c>
      <c r="H413" t="s">
        <v>1399</v>
      </c>
    </row>
    <row r="414" spans="1:8" x14ac:dyDescent="0.35">
      <c r="A414" t="s">
        <v>1812</v>
      </c>
      <c r="B414" t="s">
        <v>594</v>
      </c>
      <c r="C414" t="s">
        <v>1394</v>
      </c>
      <c r="E414" s="2">
        <v>44709</v>
      </c>
      <c r="F414" s="2"/>
      <c r="H414" t="s">
        <v>1395</v>
      </c>
    </row>
    <row r="415" spans="1:8" x14ac:dyDescent="0.35">
      <c r="A415" t="s">
        <v>1813</v>
      </c>
      <c r="B415" t="s">
        <v>393</v>
      </c>
      <c r="C415" t="s">
        <v>1401</v>
      </c>
      <c r="D415">
        <v>28100.67</v>
      </c>
      <c r="E415" s="2">
        <v>45410</v>
      </c>
      <c r="F415" s="2">
        <v>45448</v>
      </c>
      <c r="G415">
        <v>38</v>
      </c>
      <c r="H415" t="s">
        <v>1399</v>
      </c>
    </row>
    <row r="416" spans="1:8" x14ac:dyDescent="0.35">
      <c r="A416" t="s">
        <v>1814</v>
      </c>
      <c r="B416" t="s">
        <v>1252</v>
      </c>
      <c r="C416" t="s">
        <v>1401</v>
      </c>
      <c r="D416">
        <v>31720.86</v>
      </c>
      <c r="E416" s="2">
        <v>44893</v>
      </c>
      <c r="F416" s="2">
        <v>44930</v>
      </c>
      <c r="G416">
        <v>37</v>
      </c>
      <c r="H416" t="s">
        <v>1399</v>
      </c>
    </row>
    <row r="417" spans="1:8" x14ac:dyDescent="0.35">
      <c r="A417" t="s">
        <v>1815</v>
      </c>
      <c r="B417" t="s">
        <v>1285</v>
      </c>
      <c r="C417" t="s">
        <v>1401</v>
      </c>
      <c r="D417">
        <v>37208.519999999997</v>
      </c>
      <c r="E417" s="2">
        <v>44709</v>
      </c>
      <c r="F417" s="2">
        <v>44723</v>
      </c>
      <c r="G417">
        <v>14</v>
      </c>
      <c r="H417" t="s">
        <v>1399</v>
      </c>
    </row>
    <row r="418" spans="1:8" x14ac:dyDescent="0.35">
      <c r="A418" t="s">
        <v>1816</v>
      </c>
      <c r="B418" t="s">
        <v>784</v>
      </c>
      <c r="C418" t="s">
        <v>1401</v>
      </c>
      <c r="D418">
        <v>27027.15</v>
      </c>
      <c r="E418" s="2">
        <v>45013</v>
      </c>
      <c r="F418" s="2">
        <v>45025</v>
      </c>
      <c r="G418">
        <v>12</v>
      </c>
      <c r="H418" t="s">
        <v>1399</v>
      </c>
    </row>
    <row r="419" spans="1:8" x14ac:dyDescent="0.35">
      <c r="A419" t="s">
        <v>1817</v>
      </c>
      <c r="B419" t="s">
        <v>1186</v>
      </c>
      <c r="C419" t="s">
        <v>1401</v>
      </c>
      <c r="D419">
        <v>35886.699999999997</v>
      </c>
      <c r="E419" s="2">
        <v>44954</v>
      </c>
      <c r="F419" s="2">
        <v>44958</v>
      </c>
      <c r="G419">
        <v>4</v>
      </c>
      <c r="H419" t="s">
        <v>1399</v>
      </c>
    </row>
    <row r="420" spans="1:8" x14ac:dyDescent="0.35">
      <c r="A420" t="s">
        <v>1818</v>
      </c>
      <c r="B420" t="s">
        <v>905</v>
      </c>
      <c r="C420" t="s">
        <v>1398</v>
      </c>
      <c r="D420">
        <v>18684.53</v>
      </c>
      <c r="E420" s="2">
        <v>45624</v>
      </c>
      <c r="F420" s="2"/>
      <c r="H420" t="s">
        <v>1416</v>
      </c>
    </row>
    <row r="421" spans="1:8" x14ac:dyDescent="0.35">
      <c r="A421" t="s">
        <v>1819</v>
      </c>
      <c r="B421" t="s">
        <v>1367</v>
      </c>
      <c r="C421" t="s">
        <v>1398</v>
      </c>
      <c r="E421" s="2">
        <v>45258</v>
      </c>
      <c r="F421" s="2">
        <v>45270</v>
      </c>
      <c r="G421">
        <v>12</v>
      </c>
      <c r="H421" t="s">
        <v>1435</v>
      </c>
    </row>
    <row r="422" spans="1:8" x14ac:dyDescent="0.35">
      <c r="A422" t="s">
        <v>1820</v>
      </c>
      <c r="B422" t="s">
        <v>914</v>
      </c>
      <c r="C422" t="s">
        <v>1394</v>
      </c>
      <c r="E422" s="2">
        <v>45135</v>
      </c>
      <c r="F422" s="2"/>
      <c r="H422" t="s">
        <v>1395</v>
      </c>
    </row>
    <row r="423" spans="1:8" x14ac:dyDescent="0.35">
      <c r="A423" t="s">
        <v>1821</v>
      </c>
      <c r="B423" t="s">
        <v>422</v>
      </c>
      <c r="C423" t="s">
        <v>1394</v>
      </c>
      <c r="E423" s="2">
        <v>45563</v>
      </c>
      <c r="F423" s="2"/>
      <c r="H423" t="s">
        <v>1395</v>
      </c>
    </row>
    <row r="424" spans="1:8" x14ac:dyDescent="0.35">
      <c r="A424" t="s">
        <v>1822</v>
      </c>
      <c r="B424" t="s">
        <v>758</v>
      </c>
      <c r="C424" t="s">
        <v>1401</v>
      </c>
      <c r="D424">
        <v>13531.6</v>
      </c>
      <c r="E424" s="2">
        <v>45624</v>
      </c>
      <c r="F424" s="2">
        <v>45637</v>
      </c>
      <c r="G424">
        <v>13</v>
      </c>
      <c r="H424" t="s">
        <v>1399</v>
      </c>
    </row>
    <row r="425" spans="1:8" x14ac:dyDescent="0.35">
      <c r="A425" t="s">
        <v>1823</v>
      </c>
      <c r="B425" t="s">
        <v>1331</v>
      </c>
      <c r="C425" t="s">
        <v>1401</v>
      </c>
      <c r="D425">
        <v>33482.29</v>
      </c>
      <c r="E425" s="2">
        <v>44923</v>
      </c>
      <c r="F425" s="2">
        <v>44925</v>
      </c>
      <c r="G425">
        <v>2</v>
      </c>
      <c r="H425" t="s">
        <v>1399</v>
      </c>
    </row>
    <row r="426" spans="1:8" x14ac:dyDescent="0.35">
      <c r="A426" t="s">
        <v>1824</v>
      </c>
      <c r="B426" t="s">
        <v>474</v>
      </c>
      <c r="C426" t="s">
        <v>1394</v>
      </c>
      <c r="E426" s="2">
        <v>44801</v>
      </c>
      <c r="F426" s="2"/>
      <c r="H426" t="s">
        <v>1395</v>
      </c>
    </row>
    <row r="427" spans="1:8" x14ac:dyDescent="0.35">
      <c r="A427" t="s">
        <v>1825</v>
      </c>
      <c r="B427" t="s">
        <v>623</v>
      </c>
      <c r="C427" t="s">
        <v>1401</v>
      </c>
      <c r="D427">
        <v>17342.61</v>
      </c>
      <c r="E427" s="2">
        <v>44801</v>
      </c>
      <c r="F427" s="2">
        <v>44832</v>
      </c>
      <c r="G427">
        <v>31</v>
      </c>
      <c r="H427" t="s">
        <v>1399</v>
      </c>
    </row>
    <row r="428" spans="1:8" x14ac:dyDescent="0.35">
      <c r="A428" t="s">
        <v>1826</v>
      </c>
      <c r="B428" t="s">
        <v>383</v>
      </c>
      <c r="C428" t="s">
        <v>1394</v>
      </c>
      <c r="E428" s="2">
        <v>45471</v>
      </c>
      <c r="F428" s="2"/>
      <c r="H428" t="s">
        <v>1395</v>
      </c>
    </row>
    <row r="429" spans="1:8" x14ac:dyDescent="0.35">
      <c r="A429" t="s">
        <v>1827</v>
      </c>
      <c r="B429" t="s">
        <v>1348</v>
      </c>
      <c r="C429" t="s">
        <v>1398</v>
      </c>
      <c r="E429" s="2">
        <v>45166</v>
      </c>
      <c r="F429" s="2">
        <v>45175</v>
      </c>
      <c r="G429">
        <v>9</v>
      </c>
      <c r="H429" t="s">
        <v>1435</v>
      </c>
    </row>
    <row r="430" spans="1:8" x14ac:dyDescent="0.35">
      <c r="A430" t="s">
        <v>1828</v>
      </c>
      <c r="B430" t="s">
        <v>858</v>
      </c>
      <c r="C430" t="s">
        <v>1401</v>
      </c>
      <c r="D430">
        <v>21941.82</v>
      </c>
      <c r="E430" s="2">
        <v>45471</v>
      </c>
      <c r="F430" s="2">
        <v>45559</v>
      </c>
      <c r="G430">
        <v>88</v>
      </c>
      <c r="H430" t="s">
        <v>1399</v>
      </c>
    </row>
    <row r="431" spans="1:8" x14ac:dyDescent="0.35">
      <c r="A431" t="s">
        <v>1829</v>
      </c>
      <c r="B431" t="s">
        <v>856</v>
      </c>
      <c r="C431" t="s">
        <v>1394</v>
      </c>
      <c r="E431" s="2">
        <v>45013</v>
      </c>
      <c r="F431" s="2"/>
      <c r="H431" t="s">
        <v>1395</v>
      </c>
    </row>
    <row r="432" spans="1:8" x14ac:dyDescent="0.35">
      <c r="A432" t="s">
        <v>1830</v>
      </c>
      <c r="B432" t="s">
        <v>544</v>
      </c>
      <c r="C432" t="s">
        <v>1394</v>
      </c>
      <c r="E432" s="2">
        <v>45135</v>
      </c>
      <c r="F432" s="2"/>
      <c r="H432" t="s">
        <v>1395</v>
      </c>
    </row>
    <row r="433" spans="1:8" x14ac:dyDescent="0.35">
      <c r="A433" t="s">
        <v>1831</v>
      </c>
      <c r="B433" t="s">
        <v>844</v>
      </c>
      <c r="C433" t="s">
        <v>1398</v>
      </c>
      <c r="E433" s="2">
        <v>45532</v>
      </c>
      <c r="F433" s="2">
        <v>45552</v>
      </c>
      <c r="G433">
        <v>20</v>
      </c>
      <c r="H433" t="s">
        <v>1435</v>
      </c>
    </row>
    <row r="434" spans="1:8" x14ac:dyDescent="0.35">
      <c r="A434" t="s">
        <v>1832</v>
      </c>
      <c r="B434" t="s">
        <v>1014</v>
      </c>
      <c r="C434" t="s">
        <v>1394</v>
      </c>
      <c r="E434" s="2">
        <v>45105</v>
      </c>
      <c r="F434" s="2"/>
      <c r="H434" t="s">
        <v>1395</v>
      </c>
    </row>
    <row r="435" spans="1:8" x14ac:dyDescent="0.35">
      <c r="A435" t="s">
        <v>1833</v>
      </c>
      <c r="B435" t="s">
        <v>658</v>
      </c>
      <c r="C435" t="s">
        <v>1394</v>
      </c>
      <c r="E435" s="2">
        <v>45258</v>
      </c>
      <c r="F435" s="2"/>
      <c r="H435" t="s">
        <v>1395</v>
      </c>
    </row>
    <row r="436" spans="1:8" x14ac:dyDescent="0.35">
      <c r="A436" t="s">
        <v>1834</v>
      </c>
      <c r="B436" t="s">
        <v>1198</v>
      </c>
      <c r="C436" t="s">
        <v>1398</v>
      </c>
      <c r="E436" s="2">
        <v>45044</v>
      </c>
      <c r="F436" s="2">
        <v>45089</v>
      </c>
      <c r="G436">
        <v>45</v>
      </c>
      <c r="H436" t="s">
        <v>1435</v>
      </c>
    </row>
    <row r="437" spans="1:8" x14ac:dyDescent="0.35">
      <c r="A437" t="s">
        <v>1835</v>
      </c>
      <c r="B437" t="s">
        <v>1046</v>
      </c>
      <c r="C437" t="s">
        <v>1394</v>
      </c>
      <c r="E437" s="2">
        <v>45166</v>
      </c>
      <c r="F437" s="2"/>
      <c r="H437" t="s">
        <v>1395</v>
      </c>
    </row>
    <row r="438" spans="1:8" x14ac:dyDescent="0.35">
      <c r="A438" t="s">
        <v>1836</v>
      </c>
      <c r="B438" t="s">
        <v>838</v>
      </c>
      <c r="C438" t="s">
        <v>1398</v>
      </c>
      <c r="E438" s="2">
        <v>44679</v>
      </c>
      <c r="F438" s="2"/>
      <c r="H438" t="s">
        <v>1416</v>
      </c>
    </row>
    <row r="439" spans="1:8" x14ac:dyDescent="0.35">
      <c r="A439" t="s">
        <v>1837</v>
      </c>
      <c r="B439" t="s">
        <v>436</v>
      </c>
      <c r="C439" t="s">
        <v>1394</v>
      </c>
      <c r="E439" s="2">
        <v>44589</v>
      </c>
      <c r="F439" s="2"/>
      <c r="H439" t="s">
        <v>1395</v>
      </c>
    </row>
    <row r="440" spans="1:8" x14ac:dyDescent="0.35">
      <c r="A440" t="s">
        <v>1838</v>
      </c>
      <c r="B440" t="s">
        <v>1264</v>
      </c>
      <c r="C440" t="s">
        <v>1398</v>
      </c>
      <c r="D440">
        <v>8158.58</v>
      </c>
      <c r="E440" s="2">
        <v>45197</v>
      </c>
      <c r="F440" s="2">
        <v>45206</v>
      </c>
      <c r="G440">
        <v>9</v>
      </c>
      <c r="H440" t="s">
        <v>1399</v>
      </c>
    </row>
    <row r="441" spans="1:8" x14ac:dyDescent="0.35">
      <c r="A441" t="s">
        <v>1839</v>
      </c>
      <c r="B441" t="s">
        <v>430</v>
      </c>
      <c r="C441" t="s">
        <v>1398</v>
      </c>
      <c r="D441">
        <v>8646.1</v>
      </c>
      <c r="E441" s="2">
        <v>44770</v>
      </c>
      <c r="F441" s="2">
        <v>44839</v>
      </c>
      <c r="G441">
        <v>69</v>
      </c>
      <c r="H441" t="s">
        <v>1399</v>
      </c>
    </row>
    <row r="442" spans="1:8" x14ac:dyDescent="0.35">
      <c r="A442" t="s">
        <v>1840</v>
      </c>
      <c r="B442" t="s">
        <v>590</v>
      </c>
      <c r="C442" t="s">
        <v>1394</v>
      </c>
      <c r="E442" s="2">
        <v>44589</v>
      </c>
      <c r="F442" s="2"/>
      <c r="H442" t="s">
        <v>1395</v>
      </c>
    </row>
    <row r="443" spans="1:8" x14ac:dyDescent="0.35">
      <c r="A443" t="s">
        <v>1841</v>
      </c>
      <c r="B443" t="s">
        <v>510</v>
      </c>
      <c r="C443" t="s">
        <v>1401</v>
      </c>
      <c r="D443">
        <v>27404.31</v>
      </c>
      <c r="E443" s="2">
        <v>44985</v>
      </c>
      <c r="F443" s="2">
        <v>45005</v>
      </c>
      <c r="G443">
        <v>20</v>
      </c>
      <c r="H443" t="s">
        <v>1399</v>
      </c>
    </row>
    <row r="444" spans="1:8" x14ac:dyDescent="0.35">
      <c r="A444" t="s">
        <v>1842</v>
      </c>
      <c r="B444" t="s">
        <v>566</v>
      </c>
      <c r="C444" t="s">
        <v>1394</v>
      </c>
      <c r="E444" s="2">
        <v>44801</v>
      </c>
      <c r="F444" s="2"/>
      <c r="H444" t="s">
        <v>1395</v>
      </c>
    </row>
    <row r="445" spans="1:8" x14ac:dyDescent="0.35">
      <c r="A445" t="s">
        <v>1843</v>
      </c>
      <c r="B445" t="s">
        <v>1383</v>
      </c>
      <c r="C445" t="s">
        <v>1401</v>
      </c>
      <c r="D445">
        <v>35215.26</v>
      </c>
      <c r="E445" s="2">
        <v>44985</v>
      </c>
      <c r="F445" s="2">
        <v>45005</v>
      </c>
      <c r="G445">
        <v>20</v>
      </c>
      <c r="H445" t="s">
        <v>1399</v>
      </c>
    </row>
    <row r="446" spans="1:8" x14ac:dyDescent="0.35">
      <c r="A446" t="s">
        <v>1844</v>
      </c>
      <c r="B446" t="s">
        <v>852</v>
      </c>
      <c r="C446" t="s">
        <v>1401</v>
      </c>
      <c r="D446">
        <v>9311.0300000000007</v>
      </c>
      <c r="E446" s="2">
        <v>45074</v>
      </c>
      <c r="F446" s="2">
        <v>45076</v>
      </c>
      <c r="G446">
        <v>2</v>
      </c>
      <c r="H446" t="s">
        <v>1399</v>
      </c>
    </row>
    <row r="447" spans="1:8" x14ac:dyDescent="0.35">
      <c r="A447" t="s">
        <v>1845</v>
      </c>
      <c r="B447" t="s">
        <v>866</v>
      </c>
      <c r="C447" t="s">
        <v>1401</v>
      </c>
      <c r="D447">
        <v>27393.360000000001</v>
      </c>
      <c r="E447" s="2">
        <v>44740</v>
      </c>
      <c r="F447" s="2">
        <v>44745</v>
      </c>
      <c r="G447">
        <v>5</v>
      </c>
      <c r="H447" t="s">
        <v>1399</v>
      </c>
    </row>
    <row r="448" spans="1:8" x14ac:dyDescent="0.35">
      <c r="A448" t="s">
        <v>1846</v>
      </c>
      <c r="B448" t="s">
        <v>466</v>
      </c>
      <c r="C448" t="s">
        <v>1398</v>
      </c>
      <c r="D448">
        <v>133.34</v>
      </c>
      <c r="E448" s="2">
        <v>45288</v>
      </c>
      <c r="F448" s="2">
        <v>45300</v>
      </c>
      <c r="G448">
        <v>12</v>
      </c>
      <c r="H448" t="s">
        <v>1399</v>
      </c>
    </row>
    <row r="449" spans="1:8" x14ac:dyDescent="0.35">
      <c r="A449" t="s">
        <v>1847</v>
      </c>
      <c r="B449" t="s">
        <v>924</v>
      </c>
      <c r="C449" t="s">
        <v>1398</v>
      </c>
      <c r="E449" s="2">
        <v>44648</v>
      </c>
      <c r="F449" s="2">
        <v>44651</v>
      </c>
      <c r="G449">
        <v>3</v>
      </c>
      <c r="H449" t="s">
        <v>1435</v>
      </c>
    </row>
    <row r="450" spans="1:8" x14ac:dyDescent="0.35">
      <c r="A450" t="s">
        <v>1848</v>
      </c>
      <c r="B450" t="s">
        <v>1102</v>
      </c>
      <c r="C450" t="s">
        <v>1398</v>
      </c>
      <c r="D450">
        <v>12252.25</v>
      </c>
      <c r="E450" s="2">
        <v>45440</v>
      </c>
      <c r="F450" s="2">
        <v>45523</v>
      </c>
      <c r="G450">
        <v>83</v>
      </c>
      <c r="H450" t="s">
        <v>1399</v>
      </c>
    </row>
    <row r="451" spans="1:8" x14ac:dyDescent="0.35">
      <c r="A451" t="s">
        <v>1849</v>
      </c>
      <c r="B451" t="s">
        <v>1245</v>
      </c>
      <c r="C451" t="s">
        <v>1398</v>
      </c>
      <c r="D451">
        <v>487.7</v>
      </c>
      <c r="E451" s="2">
        <v>45379</v>
      </c>
      <c r="F451" s="2">
        <v>45392</v>
      </c>
      <c r="G451">
        <v>13</v>
      </c>
      <c r="H451" t="s">
        <v>1399</v>
      </c>
    </row>
    <row r="452" spans="1:8" x14ac:dyDescent="0.35">
      <c r="A452" t="s">
        <v>1850</v>
      </c>
      <c r="B452" t="s">
        <v>949</v>
      </c>
      <c r="C452" t="s">
        <v>1401</v>
      </c>
      <c r="D452">
        <v>10104.14</v>
      </c>
      <c r="E452" s="2">
        <v>45319</v>
      </c>
      <c r="F452" s="2">
        <v>45356</v>
      </c>
      <c r="G452">
        <v>37</v>
      </c>
      <c r="H452" t="s">
        <v>1399</v>
      </c>
    </row>
    <row r="453" spans="1:8" x14ac:dyDescent="0.35">
      <c r="A453" t="s">
        <v>1851</v>
      </c>
      <c r="B453" t="s">
        <v>708</v>
      </c>
      <c r="C453" t="s">
        <v>1394</v>
      </c>
      <c r="E453" s="2">
        <v>44770</v>
      </c>
      <c r="F453" s="2"/>
      <c r="H453" t="s">
        <v>1395</v>
      </c>
    </row>
    <row r="454" spans="1:8" x14ac:dyDescent="0.35">
      <c r="A454" t="s">
        <v>1852</v>
      </c>
      <c r="B454" t="s">
        <v>743</v>
      </c>
      <c r="C454" t="s">
        <v>1401</v>
      </c>
      <c r="D454">
        <v>22838.3</v>
      </c>
      <c r="E454" s="2">
        <v>44620</v>
      </c>
      <c r="F454" s="2">
        <v>44622</v>
      </c>
      <c r="G454">
        <v>2</v>
      </c>
      <c r="H454" t="s">
        <v>1399</v>
      </c>
    </row>
    <row r="455" spans="1:8" x14ac:dyDescent="0.35">
      <c r="A455" t="s">
        <v>1853</v>
      </c>
      <c r="B455" t="s">
        <v>628</v>
      </c>
      <c r="C455" t="s">
        <v>1401</v>
      </c>
      <c r="D455">
        <v>21960.61</v>
      </c>
      <c r="E455" s="2">
        <v>45288</v>
      </c>
      <c r="F455" s="2">
        <v>45315</v>
      </c>
      <c r="G455">
        <v>27</v>
      </c>
      <c r="H455" t="s">
        <v>1399</v>
      </c>
    </row>
    <row r="456" spans="1:8" x14ac:dyDescent="0.35">
      <c r="A456" t="s">
        <v>1854</v>
      </c>
      <c r="B456" t="s">
        <v>619</v>
      </c>
      <c r="C456" t="s">
        <v>1401</v>
      </c>
      <c r="D456">
        <v>23665.77</v>
      </c>
      <c r="E456" s="2">
        <v>45258</v>
      </c>
      <c r="F456" s="2">
        <v>45300</v>
      </c>
      <c r="G456">
        <v>42</v>
      </c>
      <c r="H456" t="s">
        <v>1399</v>
      </c>
    </row>
    <row r="457" spans="1:8" x14ac:dyDescent="0.35">
      <c r="A457" t="s">
        <v>1855</v>
      </c>
      <c r="B457" t="s">
        <v>1300</v>
      </c>
      <c r="C457" t="s">
        <v>1398</v>
      </c>
      <c r="E457" s="2">
        <v>45044</v>
      </c>
      <c r="F457" s="2">
        <v>45069</v>
      </c>
      <c r="G457">
        <v>25</v>
      </c>
      <c r="H457" t="s">
        <v>1435</v>
      </c>
    </row>
    <row r="458" spans="1:8" x14ac:dyDescent="0.35">
      <c r="A458" t="s">
        <v>1856</v>
      </c>
      <c r="B458" t="s">
        <v>823</v>
      </c>
      <c r="C458" t="s">
        <v>1394</v>
      </c>
      <c r="E458" s="2">
        <v>44862</v>
      </c>
      <c r="F458" s="2"/>
      <c r="H458" t="s">
        <v>1395</v>
      </c>
    </row>
    <row r="459" spans="1:8" x14ac:dyDescent="0.35">
      <c r="A459" t="s">
        <v>1857</v>
      </c>
      <c r="B459" t="s">
        <v>1283</v>
      </c>
      <c r="C459" t="s">
        <v>1394</v>
      </c>
      <c r="E459" s="2">
        <v>44893</v>
      </c>
      <c r="F459" s="2"/>
      <c r="H459" t="s">
        <v>1395</v>
      </c>
    </row>
    <row r="460" spans="1:8" x14ac:dyDescent="0.35">
      <c r="A460" t="s">
        <v>1858</v>
      </c>
      <c r="B460" t="s">
        <v>625</v>
      </c>
      <c r="C460" t="s">
        <v>1398</v>
      </c>
      <c r="E460" s="2">
        <v>45074</v>
      </c>
      <c r="F460" s="2">
        <v>45109</v>
      </c>
      <c r="G460">
        <v>35</v>
      </c>
      <c r="H460" t="s">
        <v>1435</v>
      </c>
    </row>
    <row r="461" spans="1:8" x14ac:dyDescent="0.35">
      <c r="A461" t="s">
        <v>1859</v>
      </c>
      <c r="B461" t="s">
        <v>760</v>
      </c>
      <c r="C461" t="s">
        <v>1401</v>
      </c>
      <c r="D461">
        <v>4346.16</v>
      </c>
      <c r="E461" s="2">
        <v>44770</v>
      </c>
      <c r="F461" s="2">
        <v>44801</v>
      </c>
      <c r="G461">
        <v>31</v>
      </c>
      <c r="H461" t="s">
        <v>1399</v>
      </c>
    </row>
    <row r="462" spans="1:8" x14ac:dyDescent="0.35">
      <c r="A462" t="s">
        <v>1860</v>
      </c>
      <c r="B462" t="s">
        <v>890</v>
      </c>
      <c r="C462" t="s">
        <v>1394</v>
      </c>
      <c r="E462" s="2">
        <v>44709</v>
      </c>
      <c r="F462" s="2"/>
      <c r="H462" t="s">
        <v>1395</v>
      </c>
    </row>
    <row r="463" spans="1:8" x14ac:dyDescent="0.35">
      <c r="A463" t="s">
        <v>1861</v>
      </c>
      <c r="B463" t="s">
        <v>1304</v>
      </c>
      <c r="C463" t="s">
        <v>1398</v>
      </c>
      <c r="E463" s="2">
        <v>45227</v>
      </c>
      <c r="F463" s="2">
        <v>45252</v>
      </c>
      <c r="G463">
        <v>25</v>
      </c>
      <c r="H463" t="s">
        <v>1435</v>
      </c>
    </row>
    <row r="464" spans="1:8" x14ac:dyDescent="0.35">
      <c r="A464" t="s">
        <v>1862</v>
      </c>
      <c r="B464" t="s">
        <v>1295</v>
      </c>
      <c r="C464" t="s">
        <v>1401</v>
      </c>
      <c r="D464">
        <v>34758.61</v>
      </c>
      <c r="E464" s="2">
        <v>45013</v>
      </c>
      <c r="F464" s="2">
        <v>45016</v>
      </c>
      <c r="G464">
        <v>3</v>
      </c>
      <c r="H464" t="s">
        <v>1399</v>
      </c>
    </row>
    <row r="465" spans="1:8" x14ac:dyDescent="0.35">
      <c r="A465" t="s">
        <v>1863</v>
      </c>
      <c r="B465" t="s">
        <v>912</v>
      </c>
      <c r="C465" t="s">
        <v>1401</v>
      </c>
      <c r="D465">
        <v>25561.88</v>
      </c>
      <c r="E465" s="2">
        <v>44923</v>
      </c>
      <c r="F465" s="2">
        <v>44948</v>
      </c>
      <c r="G465">
        <v>25</v>
      </c>
      <c r="H465" t="s">
        <v>1399</v>
      </c>
    </row>
    <row r="466" spans="1:8" x14ac:dyDescent="0.35">
      <c r="A466" t="s">
        <v>1864</v>
      </c>
      <c r="B466" t="s">
        <v>524</v>
      </c>
      <c r="C466" t="s">
        <v>1401</v>
      </c>
      <c r="D466">
        <v>2722.9</v>
      </c>
      <c r="E466" s="2">
        <v>45258</v>
      </c>
      <c r="F466" s="2">
        <v>45261</v>
      </c>
      <c r="G466">
        <v>3</v>
      </c>
      <c r="H466" t="s">
        <v>1399</v>
      </c>
    </row>
    <row r="467" spans="1:8" x14ac:dyDescent="0.35">
      <c r="A467" t="s">
        <v>1865</v>
      </c>
      <c r="B467" t="s">
        <v>848</v>
      </c>
      <c r="C467" t="s">
        <v>1398</v>
      </c>
      <c r="E467" s="2">
        <v>45440</v>
      </c>
      <c r="F467" s="2">
        <v>45448</v>
      </c>
      <c r="G467">
        <v>8</v>
      </c>
      <c r="H467" t="s">
        <v>1435</v>
      </c>
    </row>
    <row r="468" spans="1:8" x14ac:dyDescent="0.35">
      <c r="A468" t="s">
        <v>1866</v>
      </c>
      <c r="B468" t="s">
        <v>855</v>
      </c>
      <c r="C468" t="s">
        <v>1394</v>
      </c>
      <c r="E468" s="2">
        <v>45258</v>
      </c>
      <c r="F468" s="2"/>
      <c r="H468" t="s">
        <v>1395</v>
      </c>
    </row>
    <row r="469" spans="1:8" x14ac:dyDescent="0.35">
      <c r="A469" t="s">
        <v>1867</v>
      </c>
      <c r="B469" t="s">
        <v>1234</v>
      </c>
      <c r="C469" t="s">
        <v>1398</v>
      </c>
      <c r="D469">
        <v>9215.57</v>
      </c>
      <c r="E469" s="2">
        <v>44801</v>
      </c>
      <c r="F469" s="2"/>
      <c r="H469" t="s">
        <v>1416</v>
      </c>
    </row>
    <row r="470" spans="1:8" x14ac:dyDescent="0.35">
      <c r="A470" t="s">
        <v>1868</v>
      </c>
      <c r="B470" t="s">
        <v>373</v>
      </c>
      <c r="C470" t="s">
        <v>1394</v>
      </c>
      <c r="E470" s="2">
        <v>45379</v>
      </c>
      <c r="F470" s="2"/>
      <c r="H470" t="s">
        <v>1395</v>
      </c>
    </row>
    <row r="471" spans="1:8" x14ac:dyDescent="0.35">
      <c r="A471" t="s">
        <v>1869</v>
      </c>
      <c r="B471" t="s">
        <v>1094</v>
      </c>
      <c r="C471" t="s">
        <v>1398</v>
      </c>
      <c r="D471">
        <v>16933.810000000001</v>
      </c>
      <c r="E471" s="2">
        <v>44832</v>
      </c>
      <c r="F471" s="2">
        <v>44836</v>
      </c>
      <c r="G471">
        <v>4</v>
      </c>
      <c r="H471" t="s">
        <v>1399</v>
      </c>
    </row>
    <row r="472" spans="1:8" x14ac:dyDescent="0.35">
      <c r="A472" t="s">
        <v>1870</v>
      </c>
      <c r="B472" t="s">
        <v>557</v>
      </c>
      <c r="C472" t="s">
        <v>1401</v>
      </c>
      <c r="D472">
        <v>39032.19</v>
      </c>
      <c r="E472" s="2">
        <v>45593</v>
      </c>
      <c r="F472" s="2">
        <v>45599</v>
      </c>
      <c r="G472">
        <v>6</v>
      </c>
      <c r="H472" t="s">
        <v>1399</v>
      </c>
    </row>
    <row r="473" spans="1:8" x14ac:dyDescent="0.35">
      <c r="A473" t="s">
        <v>1871</v>
      </c>
      <c r="B473" t="s">
        <v>435</v>
      </c>
      <c r="C473" t="s">
        <v>1401</v>
      </c>
      <c r="D473">
        <v>32911.18</v>
      </c>
      <c r="E473" s="2">
        <v>45105</v>
      </c>
      <c r="F473" s="2">
        <v>45138</v>
      </c>
      <c r="G473">
        <v>33</v>
      </c>
      <c r="H473" t="s">
        <v>1399</v>
      </c>
    </row>
    <row r="474" spans="1:8" x14ac:dyDescent="0.35">
      <c r="A474" t="s">
        <v>1872</v>
      </c>
      <c r="B474" t="s">
        <v>392</v>
      </c>
      <c r="C474" t="s">
        <v>1398</v>
      </c>
      <c r="D474">
        <v>7570.94</v>
      </c>
      <c r="E474" s="2">
        <v>45654</v>
      </c>
      <c r="F474" s="2">
        <v>45658</v>
      </c>
      <c r="G474">
        <v>4</v>
      </c>
      <c r="H474" t="s">
        <v>1399</v>
      </c>
    </row>
    <row r="475" spans="1:8" x14ac:dyDescent="0.35">
      <c r="A475" t="s">
        <v>1873</v>
      </c>
      <c r="B475" t="s">
        <v>1247</v>
      </c>
      <c r="C475" t="s">
        <v>1398</v>
      </c>
      <c r="D475">
        <v>6443.86</v>
      </c>
      <c r="E475" s="2">
        <v>45135</v>
      </c>
      <c r="F475" s="2">
        <v>45135</v>
      </c>
      <c r="G475">
        <v>0</v>
      </c>
      <c r="H475" t="s">
        <v>1399</v>
      </c>
    </row>
    <row r="476" spans="1:8" x14ac:dyDescent="0.35">
      <c r="A476" t="s">
        <v>1874</v>
      </c>
      <c r="B476" t="s">
        <v>1345</v>
      </c>
      <c r="C476" t="s">
        <v>1401</v>
      </c>
      <c r="D476">
        <v>13429.24</v>
      </c>
      <c r="E476" s="2">
        <v>45410</v>
      </c>
      <c r="F476" s="2">
        <v>45451</v>
      </c>
      <c r="G476">
        <v>41</v>
      </c>
      <c r="H476" t="s">
        <v>1399</v>
      </c>
    </row>
    <row r="477" spans="1:8" x14ac:dyDescent="0.35">
      <c r="A477" t="s">
        <v>1875</v>
      </c>
      <c r="B477" t="s">
        <v>1222</v>
      </c>
      <c r="C477" t="s">
        <v>1394</v>
      </c>
      <c r="E477" s="2">
        <v>44985</v>
      </c>
      <c r="F477" s="2"/>
      <c r="H477" t="s">
        <v>1395</v>
      </c>
    </row>
    <row r="478" spans="1:8" x14ac:dyDescent="0.35">
      <c r="A478" t="s">
        <v>1876</v>
      </c>
      <c r="B478" t="s">
        <v>1373</v>
      </c>
      <c r="C478" t="s">
        <v>1401</v>
      </c>
      <c r="D478">
        <v>19110.21</v>
      </c>
      <c r="E478" s="2">
        <v>44589</v>
      </c>
      <c r="F478" s="2">
        <v>44670</v>
      </c>
      <c r="G478">
        <v>81</v>
      </c>
      <c r="H478" t="s">
        <v>1399</v>
      </c>
    </row>
    <row r="479" spans="1:8" x14ac:dyDescent="0.35">
      <c r="A479" t="s">
        <v>1877</v>
      </c>
      <c r="B479" t="s">
        <v>626</v>
      </c>
      <c r="C479" t="s">
        <v>1401</v>
      </c>
      <c r="D479">
        <v>9873.85</v>
      </c>
      <c r="E479" s="2">
        <v>45044</v>
      </c>
      <c r="F479" s="2">
        <v>45045</v>
      </c>
      <c r="G479">
        <v>1</v>
      </c>
      <c r="H479" t="s">
        <v>1399</v>
      </c>
    </row>
    <row r="480" spans="1:8" x14ac:dyDescent="0.35">
      <c r="A480" t="s">
        <v>1878</v>
      </c>
      <c r="B480" t="s">
        <v>1219</v>
      </c>
      <c r="C480" t="s">
        <v>1398</v>
      </c>
      <c r="E480" s="2">
        <v>45258</v>
      </c>
      <c r="F480" s="2">
        <v>45271</v>
      </c>
      <c r="G480">
        <v>13</v>
      </c>
      <c r="H480" t="s">
        <v>1435</v>
      </c>
    </row>
    <row r="481" spans="1:8" x14ac:dyDescent="0.35">
      <c r="A481" t="s">
        <v>1879</v>
      </c>
      <c r="B481" t="s">
        <v>605</v>
      </c>
      <c r="C481" t="s">
        <v>1398</v>
      </c>
      <c r="D481">
        <v>7574.2</v>
      </c>
      <c r="E481" s="2">
        <v>44832</v>
      </c>
      <c r="F481" s="2">
        <v>44839</v>
      </c>
      <c r="G481">
        <v>7</v>
      </c>
      <c r="H481" t="s">
        <v>1399</v>
      </c>
    </row>
    <row r="482" spans="1:8" x14ac:dyDescent="0.35">
      <c r="A482" t="s">
        <v>1880</v>
      </c>
      <c r="B482" t="s">
        <v>642</v>
      </c>
      <c r="C482" t="s">
        <v>1401</v>
      </c>
      <c r="D482">
        <v>30529.25</v>
      </c>
      <c r="E482" s="2">
        <v>44770</v>
      </c>
      <c r="F482" s="2">
        <v>44780</v>
      </c>
      <c r="G482">
        <v>10</v>
      </c>
      <c r="H482" t="s">
        <v>1399</v>
      </c>
    </row>
    <row r="483" spans="1:8" x14ac:dyDescent="0.35">
      <c r="A483" t="s">
        <v>1881</v>
      </c>
      <c r="B483" t="s">
        <v>1111</v>
      </c>
      <c r="C483" t="s">
        <v>1401</v>
      </c>
      <c r="D483">
        <v>22811.66</v>
      </c>
      <c r="E483" s="2">
        <v>45471</v>
      </c>
      <c r="F483" s="2">
        <v>45479</v>
      </c>
      <c r="G483">
        <v>8</v>
      </c>
      <c r="H483" t="s">
        <v>1399</v>
      </c>
    </row>
    <row r="484" spans="1:8" x14ac:dyDescent="0.35">
      <c r="A484" t="s">
        <v>1882</v>
      </c>
      <c r="B484" t="s">
        <v>682</v>
      </c>
      <c r="C484" t="s">
        <v>1398</v>
      </c>
      <c r="D484">
        <v>16584.150000000001</v>
      </c>
      <c r="E484" s="2">
        <v>44954</v>
      </c>
      <c r="F484" s="2">
        <v>44965</v>
      </c>
      <c r="G484">
        <v>11</v>
      </c>
      <c r="H484" t="s">
        <v>1399</v>
      </c>
    </row>
    <row r="485" spans="1:8" x14ac:dyDescent="0.35">
      <c r="A485" t="s">
        <v>1883</v>
      </c>
      <c r="B485" t="s">
        <v>1120</v>
      </c>
      <c r="C485" t="s">
        <v>1401</v>
      </c>
      <c r="D485">
        <v>38059.86</v>
      </c>
      <c r="E485" s="2">
        <v>45197</v>
      </c>
      <c r="F485" s="2">
        <v>45206</v>
      </c>
      <c r="G485">
        <v>9</v>
      </c>
      <c r="H485" t="s">
        <v>1399</v>
      </c>
    </row>
    <row r="486" spans="1:8" x14ac:dyDescent="0.35">
      <c r="A486" t="s">
        <v>1884</v>
      </c>
      <c r="B486" t="s">
        <v>378</v>
      </c>
      <c r="C486" t="s">
        <v>1394</v>
      </c>
      <c r="E486" s="2">
        <v>45350</v>
      </c>
      <c r="F486" s="2"/>
      <c r="H486" t="s">
        <v>1395</v>
      </c>
    </row>
    <row r="487" spans="1:8" x14ac:dyDescent="0.35">
      <c r="A487" t="s">
        <v>1885</v>
      </c>
      <c r="B487" t="s">
        <v>636</v>
      </c>
      <c r="C487" t="s">
        <v>1398</v>
      </c>
      <c r="D487">
        <v>15605.35</v>
      </c>
      <c r="E487" s="2">
        <v>45105</v>
      </c>
      <c r="F487" s="2"/>
      <c r="H487" t="s">
        <v>1416</v>
      </c>
    </row>
    <row r="488" spans="1:8" x14ac:dyDescent="0.35">
      <c r="A488" t="s">
        <v>1886</v>
      </c>
      <c r="B488" t="s">
        <v>967</v>
      </c>
      <c r="C488" t="s">
        <v>1401</v>
      </c>
      <c r="D488">
        <v>18456.68</v>
      </c>
      <c r="E488" s="2">
        <v>45258</v>
      </c>
      <c r="F488" s="2">
        <v>45301</v>
      </c>
      <c r="G488">
        <v>43</v>
      </c>
      <c r="H488" t="s">
        <v>1399</v>
      </c>
    </row>
    <row r="489" spans="1:8" x14ac:dyDescent="0.35">
      <c r="A489" t="s">
        <v>1887</v>
      </c>
      <c r="B489" t="s">
        <v>916</v>
      </c>
      <c r="C489" t="s">
        <v>1401</v>
      </c>
      <c r="D489">
        <v>14697.36</v>
      </c>
      <c r="E489" s="2">
        <v>45379</v>
      </c>
      <c r="F489" s="2">
        <v>45385</v>
      </c>
      <c r="G489">
        <v>6</v>
      </c>
      <c r="H489" t="s">
        <v>1399</v>
      </c>
    </row>
    <row r="490" spans="1:8" x14ac:dyDescent="0.35">
      <c r="A490" t="s">
        <v>1888</v>
      </c>
      <c r="B490" t="s">
        <v>712</v>
      </c>
      <c r="C490" t="s">
        <v>1394</v>
      </c>
      <c r="E490" s="2">
        <v>45319</v>
      </c>
      <c r="F490" s="2"/>
      <c r="H490" t="s">
        <v>1395</v>
      </c>
    </row>
    <row r="491" spans="1:8" x14ac:dyDescent="0.35">
      <c r="A491" t="s">
        <v>1889</v>
      </c>
      <c r="B491" t="s">
        <v>568</v>
      </c>
      <c r="C491" t="s">
        <v>1394</v>
      </c>
      <c r="E491" s="2">
        <v>45440</v>
      </c>
      <c r="F491" s="2"/>
      <c r="H491" t="s">
        <v>1395</v>
      </c>
    </row>
    <row r="492" spans="1:8" x14ac:dyDescent="0.35">
      <c r="A492" t="s">
        <v>1890</v>
      </c>
      <c r="B492" t="s">
        <v>386</v>
      </c>
      <c r="C492" t="s">
        <v>1394</v>
      </c>
      <c r="E492" s="2">
        <v>44954</v>
      </c>
      <c r="F492" s="2"/>
      <c r="H492" t="s">
        <v>1395</v>
      </c>
    </row>
    <row r="493" spans="1:8" x14ac:dyDescent="0.35">
      <c r="A493" t="s">
        <v>1891</v>
      </c>
      <c r="B493" t="s">
        <v>703</v>
      </c>
      <c r="C493" t="s">
        <v>1401</v>
      </c>
      <c r="D493">
        <v>20205.16</v>
      </c>
      <c r="E493" s="2">
        <v>45197</v>
      </c>
      <c r="F493" s="2">
        <v>45229</v>
      </c>
      <c r="G493">
        <v>32</v>
      </c>
      <c r="H493" t="s">
        <v>1399</v>
      </c>
    </row>
    <row r="494" spans="1:8" x14ac:dyDescent="0.35">
      <c r="A494" t="s">
        <v>1892</v>
      </c>
      <c r="B494" t="s">
        <v>1107</v>
      </c>
      <c r="C494" t="s">
        <v>1401</v>
      </c>
      <c r="D494">
        <v>28704.86</v>
      </c>
      <c r="E494" s="2">
        <v>44893</v>
      </c>
      <c r="F494" s="2">
        <v>44896</v>
      </c>
      <c r="G494">
        <v>3</v>
      </c>
      <c r="H494" t="s">
        <v>1399</v>
      </c>
    </row>
    <row r="495" spans="1:8" x14ac:dyDescent="0.35">
      <c r="A495" t="s">
        <v>1893</v>
      </c>
      <c r="B495" t="s">
        <v>1260</v>
      </c>
      <c r="C495" t="s">
        <v>1401</v>
      </c>
      <c r="D495">
        <v>33191.839999999997</v>
      </c>
      <c r="E495" s="2">
        <v>45563</v>
      </c>
      <c r="F495" s="2">
        <v>45564</v>
      </c>
      <c r="G495">
        <v>1</v>
      </c>
      <c r="H495" t="s">
        <v>1399</v>
      </c>
    </row>
    <row r="496" spans="1:8" x14ac:dyDescent="0.35">
      <c r="A496" t="s">
        <v>1894</v>
      </c>
      <c r="B496" t="s">
        <v>1289</v>
      </c>
      <c r="C496" t="s">
        <v>1401</v>
      </c>
      <c r="D496">
        <v>6044.35</v>
      </c>
      <c r="E496" s="2">
        <v>44620</v>
      </c>
      <c r="F496" s="2">
        <v>44636</v>
      </c>
      <c r="G496">
        <v>16</v>
      </c>
      <c r="H496" t="s">
        <v>1399</v>
      </c>
    </row>
    <row r="497" spans="1:8" x14ac:dyDescent="0.35">
      <c r="A497" t="s">
        <v>1895</v>
      </c>
      <c r="B497" t="s">
        <v>1037</v>
      </c>
      <c r="C497" t="s">
        <v>1398</v>
      </c>
      <c r="D497">
        <v>4115.09</v>
      </c>
      <c r="E497" s="2">
        <v>44620</v>
      </c>
      <c r="F497" s="2">
        <v>44633</v>
      </c>
      <c r="G497">
        <v>13</v>
      </c>
      <c r="H497" t="s">
        <v>1399</v>
      </c>
    </row>
    <row r="498" spans="1:8" x14ac:dyDescent="0.35">
      <c r="A498" t="s">
        <v>1896</v>
      </c>
      <c r="B498" t="s">
        <v>928</v>
      </c>
      <c r="C498" t="s">
        <v>1394</v>
      </c>
      <c r="E498" s="2">
        <v>44770</v>
      </c>
      <c r="F498" s="2"/>
      <c r="H498" t="s">
        <v>1395</v>
      </c>
    </row>
    <row r="499" spans="1:8" x14ac:dyDescent="0.35">
      <c r="A499" t="s">
        <v>1897</v>
      </c>
      <c r="B499" t="s">
        <v>1071</v>
      </c>
      <c r="C499" t="s">
        <v>1401</v>
      </c>
      <c r="D499">
        <v>2706.69</v>
      </c>
      <c r="E499" s="2">
        <v>44648</v>
      </c>
      <c r="F499" s="2">
        <v>44725</v>
      </c>
      <c r="G499">
        <v>77</v>
      </c>
      <c r="H499" t="s">
        <v>1399</v>
      </c>
    </row>
    <row r="500" spans="1:8" x14ac:dyDescent="0.35">
      <c r="A500" t="s">
        <v>1898</v>
      </c>
      <c r="B500" t="s">
        <v>1126</v>
      </c>
      <c r="C500" t="s">
        <v>1394</v>
      </c>
      <c r="E500" s="2">
        <v>45044</v>
      </c>
      <c r="F500" s="2"/>
      <c r="H500" t="s">
        <v>1395</v>
      </c>
    </row>
    <row r="501" spans="1:8" x14ac:dyDescent="0.35">
      <c r="A501" t="s">
        <v>1899</v>
      </c>
      <c r="B501" t="s">
        <v>979</v>
      </c>
      <c r="C501" t="s">
        <v>1398</v>
      </c>
      <c r="D501">
        <v>10647.88</v>
      </c>
      <c r="E501" s="2">
        <v>44893</v>
      </c>
      <c r="F501" s="2">
        <v>44975</v>
      </c>
      <c r="G501">
        <v>82</v>
      </c>
      <c r="H501" t="s">
        <v>1399</v>
      </c>
    </row>
    <row r="502" spans="1:8" x14ac:dyDescent="0.35">
      <c r="A502" t="s">
        <v>1900</v>
      </c>
      <c r="B502" t="s">
        <v>814</v>
      </c>
      <c r="C502" t="s">
        <v>1394</v>
      </c>
      <c r="E502" s="2">
        <v>44648</v>
      </c>
      <c r="F502" s="2"/>
      <c r="H502" t="s">
        <v>1395</v>
      </c>
    </row>
    <row r="503" spans="1:8" x14ac:dyDescent="0.35">
      <c r="A503" t="s">
        <v>1901</v>
      </c>
      <c r="B503" t="s">
        <v>1069</v>
      </c>
      <c r="C503" t="s">
        <v>1398</v>
      </c>
      <c r="D503">
        <v>16792.57</v>
      </c>
      <c r="E503" s="2">
        <v>44801</v>
      </c>
      <c r="F503" s="2"/>
      <c r="H503" t="s">
        <v>1416</v>
      </c>
    </row>
    <row r="504" spans="1:8" x14ac:dyDescent="0.35">
      <c r="A504" t="s">
        <v>1902</v>
      </c>
      <c r="B504" t="s">
        <v>831</v>
      </c>
      <c r="C504" t="s">
        <v>1401</v>
      </c>
      <c r="D504">
        <v>19157.099999999999</v>
      </c>
      <c r="E504" s="2">
        <v>45044</v>
      </c>
      <c r="F504" s="2">
        <v>45059</v>
      </c>
      <c r="G504">
        <v>15</v>
      </c>
      <c r="H504" t="s">
        <v>1399</v>
      </c>
    </row>
    <row r="505" spans="1:8" x14ac:dyDescent="0.35">
      <c r="A505" t="s">
        <v>1903</v>
      </c>
      <c r="B505" t="s">
        <v>1031</v>
      </c>
      <c r="C505" t="s">
        <v>1398</v>
      </c>
      <c r="D505">
        <v>9400.35</v>
      </c>
      <c r="E505" s="2">
        <v>45013</v>
      </c>
      <c r="F505" s="2">
        <v>45029</v>
      </c>
      <c r="G505">
        <v>16</v>
      </c>
      <c r="H505" t="s">
        <v>1399</v>
      </c>
    </row>
    <row r="506" spans="1:8" x14ac:dyDescent="0.35">
      <c r="A506" t="s">
        <v>1904</v>
      </c>
      <c r="B506" t="s">
        <v>400</v>
      </c>
      <c r="C506" t="s">
        <v>1398</v>
      </c>
      <c r="D506">
        <v>6654.88</v>
      </c>
      <c r="E506" s="2">
        <v>44679</v>
      </c>
      <c r="F506" s="2">
        <v>44681</v>
      </c>
      <c r="G506">
        <v>2</v>
      </c>
      <c r="H506" t="s">
        <v>1399</v>
      </c>
    </row>
    <row r="507" spans="1:8" x14ac:dyDescent="0.35">
      <c r="A507" t="s">
        <v>1905</v>
      </c>
      <c r="B507" t="s">
        <v>635</v>
      </c>
      <c r="C507" t="s">
        <v>1401</v>
      </c>
      <c r="D507">
        <v>38611.160000000003</v>
      </c>
      <c r="E507" s="2">
        <v>45379</v>
      </c>
      <c r="F507" s="2">
        <v>45463</v>
      </c>
      <c r="G507">
        <v>84</v>
      </c>
      <c r="H507" t="s">
        <v>1399</v>
      </c>
    </row>
    <row r="508" spans="1:8" x14ac:dyDescent="0.35">
      <c r="A508" t="s">
        <v>1906</v>
      </c>
      <c r="B508" t="s">
        <v>1358</v>
      </c>
      <c r="C508" t="s">
        <v>1394</v>
      </c>
      <c r="E508" s="2">
        <v>45379</v>
      </c>
      <c r="F508" s="2"/>
      <c r="H508" t="s">
        <v>1395</v>
      </c>
    </row>
    <row r="509" spans="1:8" x14ac:dyDescent="0.35">
      <c r="A509" t="s">
        <v>1907</v>
      </c>
      <c r="B509" t="s">
        <v>953</v>
      </c>
      <c r="C509" t="s">
        <v>1394</v>
      </c>
      <c r="E509" s="2">
        <v>45532</v>
      </c>
      <c r="F509" s="2"/>
      <c r="H509" t="s">
        <v>1395</v>
      </c>
    </row>
    <row r="510" spans="1:8" x14ac:dyDescent="0.35">
      <c r="A510" t="s">
        <v>1908</v>
      </c>
      <c r="B510" t="s">
        <v>603</v>
      </c>
      <c r="C510" t="s">
        <v>1398</v>
      </c>
      <c r="D510">
        <v>4217.5</v>
      </c>
      <c r="E510" s="2">
        <v>44740</v>
      </c>
      <c r="F510" s="2">
        <v>44747</v>
      </c>
      <c r="G510">
        <v>7</v>
      </c>
      <c r="H510" t="s">
        <v>1399</v>
      </c>
    </row>
    <row r="511" spans="1:8" x14ac:dyDescent="0.35">
      <c r="A511" t="s">
        <v>1909</v>
      </c>
      <c r="B511" t="s">
        <v>589</v>
      </c>
      <c r="C511" t="s">
        <v>1401</v>
      </c>
      <c r="D511">
        <v>25373.16</v>
      </c>
      <c r="E511" s="2">
        <v>45288</v>
      </c>
      <c r="F511" s="2">
        <v>45298</v>
      </c>
      <c r="G511">
        <v>10</v>
      </c>
      <c r="H511" t="s">
        <v>1399</v>
      </c>
    </row>
    <row r="512" spans="1:8" x14ac:dyDescent="0.35">
      <c r="A512" t="s">
        <v>1910</v>
      </c>
      <c r="B512" t="s">
        <v>746</v>
      </c>
      <c r="C512" t="s">
        <v>1401</v>
      </c>
      <c r="D512">
        <v>36037.64</v>
      </c>
      <c r="E512" s="2">
        <v>45074</v>
      </c>
      <c r="F512" s="2">
        <v>45079</v>
      </c>
      <c r="G512">
        <v>5</v>
      </c>
      <c r="H512" t="s">
        <v>1399</v>
      </c>
    </row>
    <row r="513" spans="1:8" x14ac:dyDescent="0.35">
      <c r="A513" t="s">
        <v>1911</v>
      </c>
      <c r="B513" t="s">
        <v>1177</v>
      </c>
      <c r="C513" t="s">
        <v>1401</v>
      </c>
      <c r="D513">
        <v>29522.76</v>
      </c>
      <c r="E513" s="2">
        <v>45288</v>
      </c>
      <c r="F513" s="2">
        <v>45306</v>
      </c>
      <c r="G513">
        <v>18</v>
      </c>
      <c r="H513" t="s">
        <v>1399</v>
      </c>
    </row>
    <row r="514" spans="1:8" x14ac:dyDescent="0.35">
      <c r="A514" t="s">
        <v>1912</v>
      </c>
      <c r="B514" t="s">
        <v>515</v>
      </c>
      <c r="C514" t="s">
        <v>1394</v>
      </c>
      <c r="E514" s="2">
        <v>45471</v>
      </c>
      <c r="F514" s="2"/>
      <c r="H514" t="s">
        <v>1395</v>
      </c>
    </row>
    <row r="515" spans="1:8" x14ac:dyDescent="0.35">
      <c r="A515" t="s">
        <v>1913</v>
      </c>
      <c r="B515" t="s">
        <v>1290</v>
      </c>
      <c r="C515" t="s">
        <v>1394</v>
      </c>
      <c r="E515" s="2">
        <v>45197</v>
      </c>
      <c r="F515" s="2"/>
      <c r="H515" t="s">
        <v>1395</v>
      </c>
    </row>
    <row r="516" spans="1:8" x14ac:dyDescent="0.35">
      <c r="A516" t="s">
        <v>1914</v>
      </c>
      <c r="B516" t="s">
        <v>1187</v>
      </c>
      <c r="C516" t="s">
        <v>1394</v>
      </c>
      <c r="E516" s="2">
        <v>45440</v>
      </c>
      <c r="F516" s="2"/>
      <c r="H516" t="s">
        <v>1395</v>
      </c>
    </row>
    <row r="517" spans="1:8" x14ac:dyDescent="0.35">
      <c r="A517" t="s">
        <v>1915</v>
      </c>
      <c r="B517" t="s">
        <v>640</v>
      </c>
      <c r="C517" t="s">
        <v>1398</v>
      </c>
      <c r="D517">
        <v>96.75</v>
      </c>
      <c r="E517" s="2">
        <v>44648</v>
      </c>
      <c r="F517" s="2"/>
      <c r="H517" t="s">
        <v>1416</v>
      </c>
    </row>
    <row r="518" spans="1:8" x14ac:dyDescent="0.35">
      <c r="A518" t="s">
        <v>1916</v>
      </c>
      <c r="B518" t="s">
        <v>1034</v>
      </c>
      <c r="C518" t="s">
        <v>1394</v>
      </c>
      <c r="E518" s="2">
        <v>45319</v>
      </c>
      <c r="F518" s="2"/>
      <c r="H518" t="s">
        <v>1395</v>
      </c>
    </row>
    <row r="519" spans="1:8" x14ac:dyDescent="0.35">
      <c r="A519" t="s">
        <v>1917</v>
      </c>
      <c r="B519" t="s">
        <v>999</v>
      </c>
      <c r="C519" t="s">
        <v>1401</v>
      </c>
      <c r="D519">
        <v>14796.85</v>
      </c>
      <c r="E519" s="2">
        <v>44862</v>
      </c>
      <c r="F519" s="2">
        <v>44869</v>
      </c>
      <c r="G519">
        <v>7</v>
      </c>
      <c r="H519" t="s">
        <v>1399</v>
      </c>
    </row>
    <row r="520" spans="1:8" x14ac:dyDescent="0.35">
      <c r="A520" t="s">
        <v>1918</v>
      </c>
      <c r="B520" t="s">
        <v>390</v>
      </c>
      <c r="C520" t="s">
        <v>1398</v>
      </c>
      <c r="D520">
        <v>11757.65</v>
      </c>
      <c r="E520" s="2">
        <v>45319</v>
      </c>
      <c r="F520" s="2">
        <v>45321</v>
      </c>
      <c r="G520">
        <v>2</v>
      </c>
      <c r="H520" t="s">
        <v>1399</v>
      </c>
    </row>
    <row r="521" spans="1:8" x14ac:dyDescent="0.35">
      <c r="A521" t="s">
        <v>1919</v>
      </c>
      <c r="B521" t="s">
        <v>479</v>
      </c>
      <c r="C521" t="s">
        <v>1394</v>
      </c>
      <c r="E521" s="2">
        <v>45166</v>
      </c>
      <c r="F521" s="2"/>
      <c r="H521" t="s">
        <v>1395</v>
      </c>
    </row>
    <row r="522" spans="1:8" x14ac:dyDescent="0.35">
      <c r="A522" t="s">
        <v>1920</v>
      </c>
      <c r="B522" t="s">
        <v>1173</v>
      </c>
      <c r="C522" t="s">
        <v>1398</v>
      </c>
      <c r="D522">
        <v>4525.8900000000003</v>
      </c>
      <c r="E522" s="2">
        <v>45319</v>
      </c>
      <c r="F522" s="2"/>
      <c r="H522" t="s">
        <v>1416</v>
      </c>
    </row>
    <row r="523" spans="1:8" x14ac:dyDescent="0.35">
      <c r="A523" t="s">
        <v>1921</v>
      </c>
      <c r="B523" t="s">
        <v>476</v>
      </c>
      <c r="C523" t="s">
        <v>1398</v>
      </c>
      <c r="D523">
        <v>7138.06</v>
      </c>
      <c r="E523" s="2">
        <v>45532</v>
      </c>
      <c r="F523" s="2">
        <v>45540</v>
      </c>
      <c r="G523">
        <v>8</v>
      </c>
      <c r="H523" t="s">
        <v>1399</v>
      </c>
    </row>
    <row r="524" spans="1:8" x14ac:dyDescent="0.35">
      <c r="A524" t="s">
        <v>1922</v>
      </c>
      <c r="B524" t="s">
        <v>434</v>
      </c>
      <c r="C524" t="s">
        <v>1394</v>
      </c>
      <c r="E524" s="2">
        <v>45197</v>
      </c>
      <c r="F524" s="2"/>
      <c r="H524" t="s">
        <v>1395</v>
      </c>
    </row>
    <row r="525" spans="1:8" x14ac:dyDescent="0.35">
      <c r="A525" t="s">
        <v>1923</v>
      </c>
      <c r="B525" t="s">
        <v>649</v>
      </c>
      <c r="C525" t="s">
        <v>1398</v>
      </c>
      <c r="D525">
        <v>17158.330000000002</v>
      </c>
      <c r="E525" s="2">
        <v>44679</v>
      </c>
      <c r="F525" s="2"/>
      <c r="H525" t="s">
        <v>1416</v>
      </c>
    </row>
    <row r="526" spans="1:8" x14ac:dyDescent="0.35">
      <c r="A526" t="s">
        <v>1924</v>
      </c>
      <c r="B526" t="s">
        <v>1106</v>
      </c>
      <c r="C526" t="s">
        <v>1394</v>
      </c>
      <c r="E526" s="2">
        <v>44954</v>
      </c>
      <c r="F526" s="2"/>
      <c r="H526" t="s">
        <v>1395</v>
      </c>
    </row>
    <row r="527" spans="1:8" x14ac:dyDescent="0.35">
      <c r="A527" t="s">
        <v>1925</v>
      </c>
      <c r="B527" t="s">
        <v>1355</v>
      </c>
      <c r="C527" t="s">
        <v>1401</v>
      </c>
      <c r="D527">
        <v>23970.13</v>
      </c>
      <c r="E527" s="2">
        <v>45135</v>
      </c>
      <c r="F527" s="2">
        <v>45139</v>
      </c>
      <c r="G527">
        <v>4</v>
      </c>
      <c r="H527" t="s">
        <v>1399</v>
      </c>
    </row>
    <row r="528" spans="1:8" x14ac:dyDescent="0.35">
      <c r="A528" t="s">
        <v>1926</v>
      </c>
      <c r="B528" t="s">
        <v>1018</v>
      </c>
      <c r="C528" t="s">
        <v>1394</v>
      </c>
      <c r="E528" s="2">
        <v>45105</v>
      </c>
      <c r="F528" s="2"/>
      <c r="H528" t="s">
        <v>1395</v>
      </c>
    </row>
    <row r="529" spans="1:8" x14ac:dyDescent="0.35">
      <c r="A529" t="s">
        <v>1927</v>
      </c>
      <c r="B529" t="s">
        <v>464</v>
      </c>
      <c r="C529" t="s">
        <v>1394</v>
      </c>
      <c r="E529" s="2">
        <v>45013</v>
      </c>
      <c r="F529" s="2"/>
      <c r="H529" t="s">
        <v>1395</v>
      </c>
    </row>
    <row r="530" spans="1:8" x14ac:dyDescent="0.35">
      <c r="A530" t="s">
        <v>1928</v>
      </c>
      <c r="B530" t="s">
        <v>1011</v>
      </c>
      <c r="C530" t="s">
        <v>1401</v>
      </c>
      <c r="D530">
        <v>7874.45</v>
      </c>
      <c r="E530" s="2">
        <v>44923</v>
      </c>
      <c r="F530" s="2">
        <v>44928</v>
      </c>
      <c r="G530">
        <v>5</v>
      </c>
      <c r="H530" t="s">
        <v>1399</v>
      </c>
    </row>
    <row r="531" spans="1:8" x14ac:dyDescent="0.35">
      <c r="A531" t="s">
        <v>1929</v>
      </c>
      <c r="B531" t="s">
        <v>1055</v>
      </c>
      <c r="C531" t="s">
        <v>1398</v>
      </c>
      <c r="D531">
        <v>12685.44</v>
      </c>
      <c r="E531" s="2">
        <v>45532</v>
      </c>
      <c r="F531" s="2">
        <v>45533</v>
      </c>
      <c r="G531">
        <v>1</v>
      </c>
      <c r="H531" t="s">
        <v>1399</v>
      </c>
    </row>
    <row r="532" spans="1:8" x14ac:dyDescent="0.35">
      <c r="A532" t="s">
        <v>1930</v>
      </c>
      <c r="B532" t="s">
        <v>1184</v>
      </c>
      <c r="C532" t="s">
        <v>1394</v>
      </c>
      <c r="E532" s="2">
        <v>45654</v>
      </c>
      <c r="F532" s="2"/>
      <c r="H532" t="s">
        <v>1395</v>
      </c>
    </row>
    <row r="533" spans="1:8" x14ac:dyDescent="0.35">
      <c r="A533" t="s">
        <v>1931</v>
      </c>
      <c r="B533" t="s">
        <v>841</v>
      </c>
      <c r="C533" t="s">
        <v>1398</v>
      </c>
      <c r="D533">
        <v>9481.4699999999993</v>
      </c>
      <c r="E533" s="2">
        <v>44862</v>
      </c>
      <c r="F533" s="2">
        <v>44940</v>
      </c>
      <c r="G533">
        <v>78</v>
      </c>
      <c r="H533" t="s">
        <v>1399</v>
      </c>
    </row>
    <row r="534" spans="1:8" x14ac:dyDescent="0.35">
      <c r="A534" t="s">
        <v>1932</v>
      </c>
      <c r="B534" t="s">
        <v>1002</v>
      </c>
      <c r="C534" t="s">
        <v>1401</v>
      </c>
      <c r="D534">
        <v>1520.07</v>
      </c>
      <c r="E534" s="2">
        <v>44801</v>
      </c>
      <c r="F534" s="2">
        <v>44805</v>
      </c>
      <c r="G534">
        <v>4</v>
      </c>
      <c r="H534" t="s">
        <v>1399</v>
      </c>
    </row>
    <row r="535" spans="1:8" x14ac:dyDescent="0.35">
      <c r="A535" t="s">
        <v>1933</v>
      </c>
      <c r="B535" t="s">
        <v>1292</v>
      </c>
      <c r="C535" t="s">
        <v>1398</v>
      </c>
      <c r="D535">
        <v>14191.99</v>
      </c>
      <c r="E535" s="2">
        <v>45319</v>
      </c>
      <c r="F535" s="2">
        <v>45363</v>
      </c>
      <c r="G535">
        <v>44</v>
      </c>
      <c r="H535" t="s">
        <v>1399</v>
      </c>
    </row>
    <row r="536" spans="1:8" x14ac:dyDescent="0.35">
      <c r="A536" t="s">
        <v>1934</v>
      </c>
      <c r="B536" t="s">
        <v>684</v>
      </c>
      <c r="C536" t="s">
        <v>1398</v>
      </c>
      <c r="D536">
        <v>5051.96</v>
      </c>
      <c r="E536" s="2">
        <v>45044</v>
      </c>
      <c r="F536" s="2"/>
      <c r="H536" t="s">
        <v>1416</v>
      </c>
    </row>
    <row r="537" spans="1:8" x14ac:dyDescent="0.35">
      <c r="A537" t="s">
        <v>1935</v>
      </c>
      <c r="B537" t="s">
        <v>504</v>
      </c>
      <c r="C537" t="s">
        <v>1394</v>
      </c>
      <c r="E537" s="2">
        <v>45319</v>
      </c>
      <c r="F537" s="2"/>
      <c r="H537" t="s">
        <v>1395</v>
      </c>
    </row>
    <row r="538" spans="1:8" x14ac:dyDescent="0.35">
      <c r="A538" t="s">
        <v>1936</v>
      </c>
      <c r="B538" t="s">
        <v>540</v>
      </c>
      <c r="C538" t="s">
        <v>1401</v>
      </c>
      <c r="D538">
        <v>26888.84</v>
      </c>
      <c r="E538" s="2">
        <v>45654</v>
      </c>
      <c r="F538" s="2">
        <v>45663</v>
      </c>
      <c r="G538">
        <v>9</v>
      </c>
      <c r="H538" t="s">
        <v>1399</v>
      </c>
    </row>
    <row r="539" spans="1:8" x14ac:dyDescent="0.35">
      <c r="A539" t="s">
        <v>1937</v>
      </c>
      <c r="B539" t="s">
        <v>446</v>
      </c>
      <c r="C539" t="s">
        <v>1394</v>
      </c>
      <c r="E539" s="2">
        <v>45379</v>
      </c>
      <c r="F539" s="2"/>
      <c r="H539" t="s">
        <v>1395</v>
      </c>
    </row>
    <row r="540" spans="1:8" x14ac:dyDescent="0.35">
      <c r="A540" t="s">
        <v>1938</v>
      </c>
      <c r="B540" t="s">
        <v>475</v>
      </c>
      <c r="C540" t="s">
        <v>1401</v>
      </c>
      <c r="D540">
        <v>4050.52</v>
      </c>
      <c r="E540" s="2">
        <v>45563</v>
      </c>
      <c r="F540" s="2">
        <v>45568</v>
      </c>
      <c r="G540">
        <v>5</v>
      </c>
      <c r="H540" t="s">
        <v>1399</v>
      </c>
    </row>
    <row r="541" spans="1:8" x14ac:dyDescent="0.35">
      <c r="A541" t="s">
        <v>1939</v>
      </c>
      <c r="B541" t="s">
        <v>559</v>
      </c>
      <c r="C541" t="s">
        <v>1394</v>
      </c>
      <c r="E541" s="2">
        <v>45624</v>
      </c>
      <c r="F541" s="2"/>
      <c r="H541" t="s">
        <v>1395</v>
      </c>
    </row>
    <row r="542" spans="1:8" x14ac:dyDescent="0.35">
      <c r="A542" t="s">
        <v>1940</v>
      </c>
      <c r="B542" t="s">
        <v>520</v>
      </c>
      <c r="C542" t="s">
        <v>1394</v>
      </c>
      <c r="E542" s="2">
        <v>44620</v>
      </c>
      <c r="F542" s="2"/>
      <c r="H542" t="s">
        <v>1395</v>
      </c>
    </row>
    <row r="543" spans="1:8" x14ac:dyDescent="0.35">
      <c r="A543" t="s">
        <v>1941</v>
      </c>
      <c r="B543" t="s">
        <v>586</v>
      </c>
      <c r="C543" t="s">
        <v>1398</v>
      </c>
      <c r="D543">
        <v>18197.939999999999</v>
      </c>
      <c r="E543" s="2">
        <v>45501</v>
      </c>
      <c r="F543" s="2"/>
      <c r="H543" t="s">
        <v>1416</v>
      </c>
    </row>
    <row r="544" spans="1:8" x14ac:dyDescent="0.35">
      <c r="A544" t="s">
        <v>1942</v>
      </c>
      <c r="B544" t="s">
        <v>1073</v>
      </c>
      <c r="C544" t="s">
        <v>1394</v>
      </c>
      <c r="E544" s="2">
        <v>45135</v>
      </c>
      <c r="F544" s="2"/>
      <c r="H544" t="s">
        <v>1395</v>
      </c>
    </row>
    <row r="545" spans="1:8" x14ac:dyDescent="0.35">
      <c r="A545" t="s">
        <v>1943</v>
      </c>
      <c r="B545" t="s">
        <v>1372</v>
      </c>
      <c r="C545" t="s">
        <v>1401</v>
      </c>
      <c r="D545">
        <v>9325.64</v>
      </c>
      <c r="E545" s="2">
        <v>45440</v>
      </c>
      <c r="F545" s="2">
        <v>45455</v>
      </c>
      <c r="G545">
        <v>15</v>
      </c>
      <c r="H545" t="s">
        <v>1399</v>
      </c>
    </row>
    <row r="546" spans="1:8" x14ac:dyDescent="0.35">
      <c r="A546" t="s">
        <v>1944</v>
      </c>
      <c r="B546" t="s">
        <v>777</v>
      </c>
      <c r="C546" t="s">
        <v>1394</v>
      </c>
      <c r="E546" s="2">
        <v>44985</v>
      </c>
      <c r="F546" s="2"/>
      <c r="H546" t="s">
        <v>1395</v>
      </c>
    </row>
    <row r="547" spans="1:8" x14ac:dyDescent="0.35">
      <c r="A547" t="s">
        <v>1945</v>
      </c>
      <c r="B547" t="s">
        <v>661</v>
      </c>
      <c r="C547" t="s">
        <v>1394</v>
      </c>
      <c r="E547" s="2">
        <v>44679</v>
      </c>
      <c r="F547" s="2"/>
      <c r="H547" t="s">
        <v>1395</v>
      </c>
    </row>
    <row r="548" spans="1:8" x14ac:dyDescent="0.35">
      <c r="A548" t="s">
        <v>1946</v>
      </c>
      <c r="B548" t="s">
        <v>1278</v>
      </c>
      <c r="C548" t="s">
        <v>1394</v>
      </c>
      <c r="E548" s="2">
        <v>45532</v>
      </c>
      <c r="F548" s="2"/>
      <c r="H548" t="s">
        <v>1395</v>
      </c>
    </row>
    <row r="549" spans="1:8" x14ac:dyDescent="0.35">
      <c r="A549" t="s">
        <v>1947</v>
      </c>
      <c r="B549" t="s">
        <v>491</v>
      </c>
      <c r="C549" t="s">
        <v>1394</v>
      </c>
      <c r="E549" s="2">
        <v>45288</v>
      </c>
      <c r="F549" s="2"/>
      <c r="H549" t="s">
        <v>1395</v>
      </c>
    </row>
    <row r="550" spans="1:8" x14ac:dyDescent="0.35">
      <c r="A550" t="s">
        <v>1948</v>
      </c>
      <c r="B550" t="s">
        <v>885</v>
      </c>
      <c r="C550" t="s">
        <v>1401</v>
      </c>
      <c r="D550">
        <v>24948.11</v>
      </c>
      <c r="E550" s="2">
        <v>44709</v>
      </c>
      <c r="F550" s="2">
        <v>44736</v>
      </c>
      <c r="G550">
        <v>27</v>
      </c>
      <c r="H550" t="s">
        <v>1399</v>
      </c>
    </row>
    <row r="551" spans="1:8" x14ac:dyDescent="0.35">
      <c r="A551" t="s">
        <v>1949</v>
      </c>
      <c r="B551" t="s">
        <v>923</v>
      </c>
      <c r="C551" t="s">
        <v>1398</v>
      </c>
      <c r="D551">
        <v>6320.42</v>
      </c>
      <c r="E551" s="2">
        <v>45319</v>
      </c>
      <c r="F551" s="2">
        <v>45321</v>
      </c>
      <c r="G551">
        <v>2</v>
      </c>
      <c r="H551" t="s">
        <v>1399</v>
      </c>
    </row>
    <row r="552" spans="1:8" x14ac:dyDescent="0.35">
      <c r="A552" t="s">
        <v>1950</v>
      </c>
      <c r="B552" t="s">
        <v>1140</v>
      </c>
      <c r="C552" t="s">
        <v>1401</v>
      </c>
      <c r="D552">
        <v>2289.12</v>
      </c>
      <c r="E552" s="2">
        <v>44770</v>
      </c>
      <c r="F552" s="2">
        <v>44789</v>
      </c>
      <c r="G552">
        <v>19</v>
      </c>
      <c r="H552" t="s">
        <v>1399</v>
      </c>
    </row>
    <row r="553" spans="1:8" x14ac:dyDescent="0.35">
      <c r="A553" t="s">
        <v>1951</v>
      </c>
      <c r="B553" t="s">
        <v>608</v>
      </c>
      <c r="C553" t="s">
        <v>1401</v>
      </c>
      <c r="D553">
        <v>31762.76</v>
      </c>
      <c r="E553" s="2">
        <v>44709</v>
      </c>
      <c r="F553" s="2">
        <v>44755</v>
      </c>
      <c r="G553">
        <v>46</v>
      </c>
      <c r="H553" t="s">
        <v>1399</v>
      </c>
    </row>
    <row r="554" spans="1:8" x14ac:dyDescent="0.35">
      <c r="A554" t="s">
        <v>1952</v>
      </c>
      <c r="B554" t="s">
        <v>730</v>
      </c>
      <c r="C554" t="s">
        <v>1401</v>
      </c>
      <c r="D554">
        <v>5943.18</v>
      </c>
      <c r="E554" s="2">
        <v>44679</v>
      </c>
      <c r="F554" s="2">
        <v>44711</v>
      </c>
      <c r="G554">
        <v>32</v>
      </c>
      <c r="H554" t="s">
        <v>1399</v>
      </c>
    </row>
    <row r="555" spans="1:8" x14ac:dyDescent="0.35">
      <c r="A555" t="s">
        <v>1953</v>
      </c>
      <c r="B555" t="s">
        <v>1209</v>
      </c>
      <c r="C555" t="s">
        <v>1394</v>
      </c>
      <c r="E555" s="2">
        <v>45654</v>
      </c>
      <c r="F555" s="2"/>
      <c r="H555" t="s">
        <v>1395</v>
      </c>
    </row>
    <row r="556" spans="1:8" x14ac:dyDescent="0.35">
      <c r="A556" t="s">
        <v>1954</v>
      </c>
      <c r="B556" t="s">
        <v>715</v>
      </c>
      <c r="C556" t="s">
        <v>1398</v>
      </c>
      <c r="E556" s="2">
        <v>45227</v>
      </c>
      <c r="F556" s="2"/>
      <c r="H556" t="s">
        <v>1416</v>
      </c>
    </row>
    <row r="557" spans="1:8" x14ac:dyDescent="0.35">
      <c r="A557" t="s">
        <v>1955</v>
      </c>
      <c r="B557" t="s">
        <v>1007</v>
      </c>
      <c r="C557" t="s">
        <v>1401</v>
      </c>
      <c r="D557">
        <v>5522.15</v>
      </c>
      <c r="E557" s="2">
        <v>44954</v>
      </c>
      <c r="F557" s="2">
        <v>44955</v>
      </c>
      <c r="G557">
        <v>1</v>
      </c>
      <c r="H557" t="s">
        <v>1399</v>
      </c>
    </row>
    <row r="558" spans="1:8" x14ac:dyDescent="0.35">
      <c r="A558" t="s">
        <v>1956</v>
      </c>
      <c r="B558" t="s">
        <v>645</v>
      </c>
      <c r="C558" t="s">
        <v>1394</v>
      </c>
      <c r="E558" s="2">
        <v>45563</v>
      </c>
      <c r="F558" s="2"/>
      <c r="H558" t="s">
        <v>1395</v>
      </c>
    </row>
    <row r="559" spans="1:8" x14ac:dyDescent="0.35">
      <c r="A559" t="s">
        <v>1957</v>
      </c>
      <c r="B559" t="s">
        <v>789</v>
      </c>
      <c r="C559" t="s">
        <v>1398</v>
      </c>
      <c r="D559">
        <v>9041.65</v>
      </c>
      <c r="E559" s="2">
        <v>45350</v>
      </c>
      <c r="F559" s="2"/>
      <c r="H559" t="s">
        <v>1416</v>
      </c>
    </row>
    <row r="560" spans="1:8" x14ac:dyDescent="0.35">
      <c r="A560" t="s">
        <v>1958</v>
      </c>
      <c r="B560" t="s">
        <v>1141</v>
      </c>
      <c r="C560" t="s">
        <v>1401</v>
      </c>
      <c r="D560">
        <v>5431.54</v>
      </c>
      <c r="E560" s="2">
        <v>45624</v>
      </c>
      <c r="F560" s="2">
        <v>45630</v>
      </c>
      <c r="G560">
        <v>6</v>
      </c>
      <c r="H560" t="s">
        <v>1399</v>
      </c>
    </row>
    <row r="561" spans="1:8" x14ac:dyDescent="0.35">
      <c r="A561" t="s">
        <v>1959</v>
      </c>
      <c r="B561" t="s">
        <v>1147</v>
      </c>
      <c r="C561" t="s">
        <v>1401</v>
      </c>
      <c r="D561">
        <v>15247.64</v>
      </c>
      <c r="E561" s="2">
        <v>45288</v>
      </c>
      <c r="F561" s="2">
        <v>45347</v>
      </c>
      <c r="G561">
        <v>59</v>
      </c>
      <c r="H561" t="s">
        <v>1399</v>
      </c>
    </row>
    <row r="562" spans="1:8" x14ac:dyDescent="0.35">
      <c r="A562" t="s">
        <v>1960</v>
      </c>
      <c r="B562" t="s">
        <v>428</v>
      </c>
      <c r="C562" t="s">
        <v>1394</v>
      </c>
      <c r="E562" s="2">
        <v>45319</v>
      </c>
      <c r="F562" s="2"/>
      <c r="H562" t="s">
        <v>1395</v>
      </c>
    </row>
    <row r="563" spans="1:8" x14ac:dyDescent="0.35">
      <c r="A563" t="s">
        <v>1961</v>
      </c>
      <c r="B563" t="s">
        <v>992</v>
      </c>
      <c r="C563" t="s">
        <v>1398</v>
      </c>
      <c r="E563" s="2">
        <v>44770</v>
      </c>
      <c r="F563" s="2"/>
      <c r="H563" t="s">
        <v>1416</v>
      </c>
    </row>
    <row r="564" spans="1:8" x14ac:dyDescent="0.35">
      <c r="A564" t="s">
        <v>1962</v>
      </c>
      <c r="B564" t="s">
        <v>732</v>
      </c>
      <c r="C564" t="s">
        <v>1394</v>
      </c>
      <c r="E564" s="2">
        <v>44709</v>
      </c>
      <c r="F564" s="2"/>
      <c r="H564" t="s">
        <v>1395</v>
      </c>
    </row>
    <row r="565" spans="1:8" x14ac:dyDescent="0.35">
      <c r="A565" t="s">
        <v>1963</v>
      </c>
      <c r="B565" t="s">
        <v>759</v>
      </c>
      <c r="C565" t="s">
        <v>1401</v>
      </c>
      <c r="D565">
        <v>35496.57</v>
      </c>
      <c r="E565" s="2">
        <v>45624</v>
      </c>
      <c r="F565" s="2">
        <v>45645</v>
      </c>
      <c r="G565">
        <v>21</v>
      </c>
      <c r="H565" t="s">
        <v>1399</v>
      </c>
    </row>
    <row r="566" spans="1:8" x14ac:dyDescent="0.35">
      <c r="A566" t="s">
        <v>1964</v>
      </c>
      <c r="B566" t="s">
        <v>1366</v>
      </c>
      <c r="C566" t="s">
        <v>1398</v>
      </c>
      <c r="D566">
        <v>2371.02</v>
      </c>
      <c r="E566" s="2">
        <v>45501</v>
      </c>
      <c r="F566" s="2">
        <v>45502</v>
      </c>
      <c r="G566">
        <v>1</v>
      </c>
      <c r="H566" t="s">
        <v>1399</v>
      </c>
    </row>
    <row r="567" spans="1:8" x14ac:dyDescent="0.35">
      <c r="A567" t="s">
        <v>1965</v>
      </c>
      <c r="B567" t="s">
        <v>1314</v>
      </c>
      <c r="C567" t="s">
        <v>1394</v>
      </c>
      <c r="E567" s="2">
        <v>44923</v>
      </c>
      <c r="F567" s="2"/>
      <c r="H567" t="s">
        <v>1395</v>
      </c>
    </row>
    <row r="568" spans="1:8" x14ac:dyDescent="0.35">
      <c r="A568" t="s">
        <v>1966</v>
      </c>
      <c r="B568" t="s">
        <v>432</v>
      </c>
      <c r="C568" t="s">
        <v>1398</v>
      </c>
      <c r="E568" s="2">
        <v>44770</v>
      </c>
      <c r="F568" s="2">
        <v>44811</v>
      </c>
      <c r="G568">
        <v>41</v>
      </c>
      <c r="H568" t="s">
        <v>1435</v>
      </c>
    </row>
    <row r="569" spans="1:8" x14ac:dyDescent="0.35">
      <c r="A569" t="s">
        <v>1967</v>
      </c>
      <c r="B569" t="s">
        <v>1327</v>
      </c>
      <c r="C569" t="s">
        <v>1398</v>
      </c>
      <c r="D569">
        <v>19243.8</v>
      </c>
      <c r="E569" s="2">
        <v>45319</v>
      </c>
      <c r="F569" s="2"/>
      <c r="H569" t="s">
        <v>1416</v>
      </c>
    </row>
    <row r="570" spans="1:8" x14ac:dyDescent="0.35">
      <c r="A570" t="s">
        <v>1968</v>
      </c>
      <c r="B570" t="s">
        <v>748</v>
      </c>
      <c r="C570" t="s">
        <v>1394</v>
      </c>
      <c r="E570" s="2">
        <v>45105</v>
      </c>
      <c r="F570" s="2"/>
      <c r="H570" t="s">
        <v>1395</v>
      </c>
    </row>
    <row r="571" spans="1:8" x14ac:dyDescent="0.35">
      <c r="A571" t="s">
        <v>1969</v>
      </c>
      <c r="B571" t="s">
        <v>473</v>
      </c>
      <c r="C571" t="s">
        <v>1401</v>
      </c>
      <c r="D571">
        <v>37599.68</v>
      </c>
      <c r="E571" s="2">
        <v>45197</v>
      </c>
      <c r="F571" s="2">
        <v>45230</v>
      </c>
      <c r="G571">
        <v>33</v>
      </c>
      <c r="H571" t="s">
        <v>1399</v>
      </c>
    </row>
    <row r="572" spans="1:8" x14ac:dyDescent="0.35">
      <c r="A572" t="s">
        <v>1970</v>
      </c>
      <c r="B572" t="s">
        <v>971</v>
      </c>
      <c r="C572" t="s">
        <v>1398</v>
      </c>
      <c r="D572">
        <v>8781.65</v>
      </c>
      <c r="E572" s="2">
        <v>44923</v>
      </c>
      <c r="F572" s="2">
        <v>44956</v>
      </c>
      <c r="G572">
        <v>33</v>
      </c>
      <c r="H572" t="s">
        <v>1399</v>
      </c>
    </row>
    <row r="573" spans="1:8" x14ac:dyDescent="0.35">
      <c r="A573" t="s">
        <v>1971</v>
      </c>
      <c r="B573" t="s">
        <v>518</v>
      </c>
      <c r="C573" t="s">
        <v>1394</v>
      </c>
      <c r="E573" s="2">
        <v>44985</v>
      </c>
      <c r="F573" s="2"/>
      <c r="H573" t="s">
        <v>1395</v>
      </c>
    </row>
    <row r="574" spans="1:8" x14ac:dyDescent="0.35">
      <c r="A574" t="s">
        <v>1972</v>
      </c>
      <c r="B574" t="s">
        <v>884</v>
      </c>
      <c r="C574" t="s">
        <v>1394</v>
      </c>
      <c r="E574" s="2">
        <v>45593</v>
      </c>
      <c r="F574" s="2"/>
      <c r="H574" t="s">
        <v>1395</v>
      </c>
    </row>
    <row r="575" spans="1:8" x14ac:dyDescent="0.35">
      <c r="A575" t="s">
        <v>1973</v>
      </c>
      <c r="B575" t="s">
        <v>794</v>
      </c>
      <c r="C575" t="s">
        <v>1394</v>
      </c>
      <c r="E575" s="2">
        <v>45105</v>
      </c>
      <c r="F575" s="2"/>
      <c r="H575" t="s">
        <v>1395</v>
      </c>
    </row>
    <row r="576" spans="1:8" x14ac:dyDescent="0.35">
      <c r="A576" t="s">
        <v>1974</v>
      </c>
      <c r="B576" t="s">
        <v>1155</v>
      </c>
      <c r="C576" t="s">
        <v>1398</v>
      </c>
      <c r="E576" s="2">
        <v>45379</v>
      </c>
      <c r="F576" s="2">
        <v>45384</v>
      </c>
      <c r="G576">
        <v>5</v>
      </c>
      <c r="H576" t="s">
        <v>1435</v>
      </c>
    </row>
    <row r="577" spans="1:8" x14ac:dyDescent="0.35">
      <c r="A577" t="s">
        <v>1975</v>
      </c>
      <c r="B577" t="s">
        <v>1036</v>
      </c>
      <c r="C577" t="s">
        <v>1394</v>
      </c>
      <c r="E577" s="2">
        <v>44770</v>
      </c>
      <c r="F577" s="2"/>
      <c r="H577" t="s">
        <v>1395</v>
      </c>
    </row>
    <row r="578" spans="1:8" x14ac:dyDescent="0.35">
      <c r="A578" t="s">
        <v>1976</v>
      </c>
      <c r="B578" t="s">
        <v>981</v>
      </c>
      <c r="C578" t="s">
        <v>1398</v>
      </c>
      <c r="D578">
        <v>16961.14</v>
      </c>
      <c r="E578" s="2">
        <v>45166</v>
      </c>
      <c r="F578" s="2">
        <v>45172</v>
      </c>
      <c r="G578">
        <v>6</v>
      </c>
      <c r="H578" t="s">
        <v>1399</v>
      </c>
    </row>
    <row r="579" spans="1:8" x14ac:dyDescent="0.35">
      <c r="A579" t="s">
        <v>1977</v>
      </c>
      <c r="B579" t="s">
        <v>546</v>
      </c>
      <c r="C579" t="s">
        <v>1394</v>
      </c>
      <c r="E579" s="2">
        <v>44832</v>
      </c>
      <c r="F579" s="2"/>
      <c r="H579" t="s">
        <v>1395</v>
      </c>
    </row>
    <row r="580" spans="1:8" x14ac:dyDescent="0.35">
      <c r="A580" t="s">
        <v>1978</v>
      </c>
      <c r="B580" t="s">
        <v>418</v>
      </c>
      <c r="C580" t="s">
        <v>1394</v>
      </c>
      <c r="E580" s="2">
        <v>45593</v>
      </c>
      <c r="F580" s="2"/>
      <c r="H580" t="s">
        <v>1395</v>
      </c>
    </row>
    <row r="581" spans="1:8" x14ac:dyDescent="0.35">
      <c r="A581" t="s">
        <v>1979</v>
      </c>
      <c r="B581" t="s">
        <v>462</v>
      </c>
      <c r="C581" t="s">
        <v>1401</v>
      </c>
      <c r="D581">
        <v>27716.3</v>
      </c>
      <c r="E581" s="2">
        <v>45074</v>
      </c>
      <c r="F581" s="2">
        <v>45110</v>
      </c>
      <c r="G581">
        <v>36</v>
      </c>
      <c r="H581" t="s">
        <v>1399</v>
      </c>
    </row>
    <row r="582" spans="1:8" x14ac:dyDescent="0.35">
      <c r="A582" t="s">
        <v>1980</v>
      </c>
      <c r="B582" t="s">
        <v>465</v>
      </c>
      <c r="C582" t="s">
        <v>1401</v>
      </c>
      <c r="D582">
        <v>26251.95</v>
      </c>
      <c r="E582" s="2">
        <v>44985</v>
      </c>
      <c r="F582" s="2">
        <v>44988</v>
      </c>
      <c r="G582">
        <v>3</v>
      </c>
      <c r="H582" t="s">
        <v>1399</v>
      </c>
    </row>
    <row r="583" spans="1:8" x14ac:dyDescent="0.35">
      <c r="A583" t="s">
        <v>1981</v>
      </c>
      <c r="B583" t="s">
        <v>802</v>
      </c>
      <c r="C583" t="s">
        <v>1401</v>
      </c>
      <c r="D583">
        <v>35212.82</v>
      </c>
      <c r="E583" s="2">
        <v>44832</v>
      </c>
      <c r="F583" s="2">
        <v>44839</v>
      </c>
      <c r="G583">
        <v>7</v>
      </c>
      <c r="H583" t="s">
        <v>1399</v>
      </c>
    </row>
    <row r="584" spans="1:8" x14ac:dyDescent="0.35">
      <c r="A584" t="s">
        <v>1982</v>
      </c>
      <c r="B584" t="s">
        <v>591</v>
      </c>
      <c r="C584" t="s">
        <v>1401</v>
      </c>
      <c r="D584">
        <v>3779.88</v>
      </c>
      <c r="E584" s="2">
        <v>45227</v>
      </c>
      <c r="F584" s="2">
        <v>45249</v>
      </c>
      <c r="G584">
        <v>22</v>
      </c>
      <c r="H584" t="s">
        <v>1399</v>
      </c>
    </row>
    <row r="585" spans="1:8" x14ac:dyDescent="0.35">
      <c r="A585" t="s">
        <v>1983</v>
      </c>
      <c r="B585" t="s">
        <v>472</v>
      </c>
      <c r="C585" t="s">
        <v>1398</v>
      </c>
      <c r="D585">
        <v>4319.78</v>
      </c>
      <c r="E585" s="2">
        <v>44923</v>
      </c>
      <c r="F585" s="2">
        <v>44927</v>
      </c>
      <c r="G585">
        <v>4</v>
      </c>
      <c r="H585" t="s">
        <v>1399</v>
      </c>
    </row>
    <row r="586" spans="1:8" x14ac:dyDescent="0.35">
      <c r="A586" t="s">
        <v>1984</v>
      </c>
      <c r="B586" t="s">
        <v>1213</v>
      </c>
      <c r="C586" t="s">
        <v>1401</v>
      </c>
      <c r="D586">
        <v>9299.2000000000007</v>
      </c>
      <c r="E586" s="2">
        <v>45410</v>
      </c>
      <c r="F586" s="2">
        <v>45412</v>
      </c>
      <c r="G586">
        <v>2</v>
      </c>
      <c r="H586" t="s">
        <v>1399</v>
      </c>
    </row>
    <row r="587" spans="1:8" x14ac:dyDescent="0.35">
      <c r="A587" t="s">
        <v>1985</v>
      </c>
      <c r="B587" t="s">
        <v>1208</v>
      </c>
      <c r="C587" t="s">
        <v>1401</v>
      </c>
      <c r="D587">
        <v>7935.98</v>
      </c>
      <c r="E587" s="2">
        <v>44985</v>
      </c>
      <c r="F587" s="2">
        <v>45000</v>
      </c>
      <c r="G587">
        <v>15</v>
      </c>
      <c r="H587" t="s">
        <v>1399</v>
      </c>
    </row>
    <row r="588" spans="1:8" x14ac:dyDescent="0.35">
      <c r="A588" t="s">
        <v>1986</v>
      </c>
      <c r="B588" t="s">
        <v>1162</v>
      </c>
      <c r="C588" t="s">
        <v>1401</v>
      </c>
      <c r="D588">
        <v>19133.650000000001</v>
      </c>
      <c r="E588" s="2">
        <v>45379</v>
      </c>
      <c r="F588" s="2">
        <v>45429</v>
      </c>
      <c r="G588">
        <v>50</v>
      </c>
      <c r="H588" t="s">
        <v>1399</v>
      </c>
    </row>
    <row r="589" spans="1:8" x14ac:dyDescent="0.35">
      <c r="A589" t="s">
        <v>1987</v>
      </c>
      <c r="B589" t="s">
        <v>1134</v>
      </c>
      <c r="C589" t="s">
        <v>1394</v>
      </c>
      <c r="E589" s="2">
        <v>44648</v>
      </c>
      <c r="F589" s="2"/>
      <c r="H589" t="s">
        <v>1395</v>
      </c>
    </row>
    <row r="590" spans="1:8" x14ac:dyDescent="0.35">
      <c r="A590" t="s">
        <v>1988</v>
      </c>
      <c r="B590" t="s">
        <v>754</v>
      </c>
      <c r="C590" t="s">
        <v>1394</v>
      </c>
      <c r="E590" s="2">
        <v>45654</v>
      </c>
      <c r="F590" s="2"/>
      <c r="H590" t="s">
        <v>1395</v>
      </c>
    </row>
    <row r="591" spans="1:8" x14ac:dyDescent="0.35">
      <c r="A591" t="s">
        <v>1989</v>
      </c>
      <c r="B591" t="s">
        <v>1365</v>
      </c>
      <c r="C591" t="s">
        <v>1401</v>
      </c>
      <c r="D591">
        <v>33325.54</v>
      </c>
      <c r="E591" s="2">
        <v>44862</v>
      </c>
      <c r="F591" s="2">
        <v>44887</v>
      </c>
      <c r="G591">
        <v>25</v>
      </c>
      <c r="H591" t="s">
        <v>1399</v>
      </c>
    </row>
    <row r="592" spans="1:8" x14ac:dyDescent="0.35">
      <c r="A592" t="s">
        <v>1990</v>
      </c>
      <c r="B592" t="s">
        <v>938</v>
      </c>
      <c r="C592" t="s">
        <v>1401</v>
      </c>
      <c r="D592">
        <v>16994.310000000001</v>
      </c>
      <c r="E592" s="2">
        <v>45135</v>
      </c>
      <c r="F592" s="2">
        <v>45180</v>
      </c>
      <c r="G592">
        <v>45</v>
      </c>
      <c r="H592" t="s">
        <v>1399</v>
      </c>
    </row>
    <row r="593" spans="1:8" x14ac:dyDescent="0.35">
      <c r="A593" t="s">
        <v>1991</v>
      </c>
      <c r="B593" t="s">
        <v>500</v>
      </c>
      <c r="C593" t="s">
        <v>1394</v>
      </c>
      <c r="E593" s="2">
        <v>44648</v>
      </c>
      <c r="F593" s="2"/>
      <c r="H593" t="s">
        <v>1395</v>
      </c>
    </row>
    <row r="594" spans="1:8" x14ac:dyDescent="0.35">
      <c r="A594" t="s">
        <v>1992</v>
      </c>
      <c r="B594" t="s">
        <v>624</v>
      </c>
      <c r="C594" t="s">
        <v>1401</v>
      </c>
      <c r="D594">
        <v>35662.9</v>
      </c>
      <c r="E594" s="2">
        <v>45379</v>
      </c>
      <c r="F594" s="2">
        <v>45384</v>
      </c>
      <c r="G594">
        <v>5</v>
      </c>
      <c r="H594" t="s">
        <v>1399</v>
      </c>
    </row>
    <row r="595" spans="1:8" x14ac:dyDescent="0.35">
      <c r="A595" t="s">
        <v>1993</v>
      </c>
      <c r="B595" t="s">
        <v>707</v>
      </c>
      <c r="C595" t="s">
        <v>1394</v>
      </c>
      <c r="E595" s="2">
        <v>45563</v>
      </c>
      <c r="F595" s="2"/>
      <c r="H595" t="s">
        <v>1395</v>
      </c>
    </row>
    <row r="596" spans="1:8" x14ac:dyDescent="0.35">
      <c r="A596" t="s">
        <v>1994</v>
      </c>
      <c r="B596" t="s">
        <v>1121</v>
      </c>
      <c r="C596" t="s">
        <v>1401</v>
      </c>
      <c r="D596">
        <v>3919.4</v>
      </c>
      <c r="E596" s="2">
        <v>44923</v>
      </c>
      <c r="F596" s="2">
        <v>44934</v>
      </c>
      <c r="G596">
        <v>11</v>
      </c>
      <c r="H596" t="s">
        <v>1399</v>
      </c>
    </row>
    <row r="597" spans="1:8" x14ac:dyDescent="0.35">
      <c r="A597" t="s">
        <v>1995</v>
      </c>
      <c r="B597" t="s">
        <v>1342</v>
      </c>
      <c r="C597" t="s">
        <v>1401</v>
      </c>
      <c r="D597">
        <v>25174.17</v>
      </c>
      <c r="E597" s="2">
        <v>45288</v>
      </c>
      <c r="F597" s="2">
        <v>45288</v>
      </c>
      <c r="G597">
        <v>0</v>
      </c>
      <c r="H597" t="s">
        <v>1399</v>
      </c>
    </row>
    <row r="598" spans="1:8" x14ac:dyDescent="0.35">
      <c r="A598" t="s">
        <v>1996</v>
      </c>
      <c r="B598" t="s">
        <v>671</v>
      </c>
      <c r="C598" t="s">
        <v>1401</v>
      </c>
      <c r="D598">
        <v>1061.1199999999999</v>
      </c>
      <c r="E598" s="2">
        <v>45410</v>
      </c>
      <c r="F598" s="2">
        <v>45424</v>
      </c>
      <c r="G598">
        <v>14</v>
      </c>
      <c r="H598" t="s">
        <v>1399</v>
      </c>
    </row>
    <row r="599" spans="1:8" x14ac:dyDescent="0.35">
      <c r="A599" t="s">
        <v>1997</v>
      </c>
      <c r="B599" t="s">
        <v>1303</v>
      </c>
      <c r="C599" t="s">
        <v>1394</v>
      </c>
      <c r="E599" s="2">
        <v>45135</v>
      </c>
      <c r="F599" s="2"/>
      <c r="H599" t="s">
        <v>1395</v>
      </c>
    </row>
    <row r="600" spans="1:8" x14ac:dyDescent="0.35">
      <c r="A600" t="s">
        <v>1998</v>
      </c>
      <c r="B600" t="s">
        <v>1279</v>
      </c>
      <c r="C600" t="s">
        <v>1398</v>
      </c>
      <c r="D600">
        <v>8351.67</v>
      </c>
      <c r="E600" s="2">
        <v>44740</v>
      </c>
      <c r="F600" s="2">
        <v>44740</v>
      </c>
      <c r="G600">
        <v>0</v>
      </c>
      <c r="H600" t="s">
        <v>1399</v>
      </c>
    </row>
    <row r="601" spans="1:8" x14ac:dyDescent="0.35">
      <c r="A601" t="s">
        <v>1999</v>
      </c>
      <c r="B601" t="s">
        <v>768</v>
      </c>
      <c r="C601" t="s">
        <v>1394</v>
      </c>
      <c r="E601" s="2">
        <v>45593</v>
      </c>
      <c r="F601" s="2"/>
      <c r="H601" t="s">
        <v>1395</v>
      </c>
    </row>
    <row r="602" spans="1:8" x14ac:dyDescent="0.35">
      <c r="A602" t="s">
        <v>2000</v>
      </c>
      <c r="B602" t="s">
        <v>1010</v>
      </c>
      <c r="C602" t="s">
        <v>1394</v>
      </c>
      <c r="E602" s="2">
        <v>44709</v>
      </c>
      <c r="F602" s="2"/>
      <c r="H602" t="s">
        <v>1395</v>
      </c>
    </row>
    <row r="603" spans="1:8" x14ac:dyDescent="0.35">
      <c r="A603" t="s">
        <v>2001</v>
      </c>
      <c r="B603" t="s">
        <v>986</v>
      </c>
      <c r="C603" t="s">
        <v>1398</v>
      </c>
      <c r="D603">
        <v>13164.84</v>
      </c>
      <c r="E603" s="2">
        <v>44923</v>
      </c>
      <c r="F603" s="2">
        <v>44932</v>
      </c>
      <c r="G603">
        <v>9</v>
      </c>
      <c r="H603" t="s">
        <v>1399</v>
      </c>
    </row>
    <row r="604" spans="1:8" x14ac:dyDescent="0.35">
      <c r="A604" t="s">
        <v>2002</v>
      </c>
      <c r="B604" t="s">
        <v>740</v>
      </c>
      <c r="C604" t="s">
        <v>1394</v>
      </c>
      <c r="E604" s="2">
        <v>45471</v>
      </c>
      <c r="F604" s="2"/>
      <c r="H604" t="s">
        <v>1395</v>
      </c>
    </row>
    <row r="605" spans="1:8" x14ac:dyDescent="0.35">
      <c r="A605" t="s">
        <v>2003</v>
      </c>
      <c r="B605" t="s">
        <v>401</v>
      </c>
      <c r="C605" t="s">
        <v>1398</v>
      </c>
      <c r="D605">
        <v>9522.5499999999993</v>
      </c>
      <c r="E605" s="2">
        <v>45593</v>
      </c>
      <c r="F605" s="2">
        <v>45603</v>
      </c>
      <c r="G605">
        <v>10</v>
      </c>
      <c r="H605" t="s">
        <v>1399</v>
      </c>
    </row>
    <row r="606" spans="1:8" x14ac:dyDescent="0.35">
      <c r="A606" t="s">
        <v>2004</v>
      </c>
      <c r="B606" t="s">
        <v>471</v>
      </c>
      <c r="C606" t="s">
        <v>1398</v>
      </c>
      <c r="D606">
        <v>6616.23</v>
      </c>
      <c r="E606" s="2">
        <v>45471</v>
      </c>
      <c r="F606" s="2">
        <v>45476</v>
      </c>
      <c r="G606">
        <v>5</v>
      </c>
      <c r="H606" t="s">
        <v>1399</v>
      </c>
    </row>
    <row r="607" spans="1:8" x14ac:dyDescent="0.35">
      <c r="A607" t="s">
        <v>2005</v>
      </c>
      <c r="B607" t="s">
        <v>638</v>
      </c>
      <c r="C607" t="s">
        <v>1398</v>
      </c>
      <c r="E607" s="2">
        <v>44893</v>
      </c>
      <c r="F607" s="2">
        <v>44915</v>
      </c>
      <c r="G607">
        <v>22</v>
      </c>
      <c r="H607" t="s">
        <v>1435</v>
      </c>
    </row>
    <row r="608" spans="1:8" x14ac:dyDescent="0.35">
      <c r="A608" t="s">
        <v>2006</v>
      </c>
      <c r="B608" t="s">
        <v>907</v>
      </c>
      <c r="C608" t="s">
        <v>1394</v>
      </c>
      <c r="E608" s="2">
        <v>45044</v>
      </c>
      <c r="F608" s="2"/>
      <c r="H608" t="s">
        <v>1395</v>
      </c>
    </row>
    <row r="609" spans="1:8" x14ac:dyDescent="0.35">
      <c r="A609" t="s">
        <v>2007</v>
      </c>
      <c r="B609" t="s">
        <v>1228</v>
      </c>
      <c r="C609" t="s">
        <v>1394</v>
      </c>
      <c r="E609" s="2">
        <v>44923</v>
      </c>
      <c r="F609" s="2"/>
      <c r="H609" t="s">
        <v>1395</v>
      </c>
    </row>
    <row r="610" spans="1:8" x14ac:dyDescent="0.35">
      <c r="A610" t="s">
        <v>2008</v>
      </c>
      <c r="B610" t="s">
        <v>779</v>
      </c>
      <c r="C610" t="s">
        <v>1394</v>
      </c>
      <c r="E610" s="2">
        <v>44954</v>
      </c>
      <c r="F610" s="2"/>
      <c r="H610" t="s">
        <v>1395</v>
      </c>
    </row>
    <row r="611" spans="1:8" x14ac:dyDescent="0.35">
      <c r="A611" t="s">
        <v>2009</v>
      </c>
      <c r="B611" t="s">
        <v>1058</v>
      </c>
      <c r="C611" t="s">
        <v>1394</v>
      </c>
      <c r="E611" s="2">
        <v>44893</v>
      </c>
      <c r="F611" s="2"/>
      <c r="H611" t="s">
        <v>1395</v>
      </c>
    </row>
    <row r="612" spans="1:8" x14ac:dyDescent="0.35">
      <c r="A612" t="s">
        <v>2010</v>
      </c>
      <c r="B612" t="s">
        <v>498</v>
      </c>
      <c r="C612" t="s">
        <v>1398</v>
      </c>
      <c r="D612">
        <v>19902.03</v>
      </c>
      <c r="E612" s="2">
        <v>45074</v>
      </c>
      <c r="F612" s="2">
        <v>45075</v>
      </c>
      <c r="G612">
        <v>1</v>
      </c>
      <c r="H612" t="s">
        <v>1399</v>
      </c>
    </row>
    <row r="613" spans="1:8" x14ac:dyDescent="0.35">
      <c r="A613" t="s">
        <v>2011</v>
      </c>
      <c r="B613" t="s">
        <v>835</v>
      </c>
      <c r="C613" t="s">
        <v>1401</v>
      </c>
      <c r="D613">
        <v>5887.19</v>
      </c>
      <c r="E613" s="2">
        <v>44648</v>
      </c>
      <c r="F613" s="2">
        <v>44650</v>
      </c>
      <c r="G613">
        <v>2</v>
      </c>
      <c r="H613" t="s">
        <v>1399</v>
      </c>
    </row>
    <row r="614" spans="1:8" x14ac:dyDescent="0.35">
      <c r="A614" t="s">
        <v>2012</v>
      </c>
      <c r="B614" t="s">
        <v>431</v>
      </c>
      <c r="C614" t="s">
        <v>1398</v>
      </c>
      <c r="E614" s="2">
        <v>44679</v>
      </c>
      <c r="F614" s="2">
        <v>44684</v>
      </c>
      <c r="G614">
        <v>5</v>
      </c>
      <c r="H614" t="s">
        <v>1435</v>
      </c>
    </row>
    <row r="615" spans="1:8" x14ac:dyDescent="0.35">
      <c r="A615" t="s">
        <v>2013</v>
      </c>
      <c r="B615" t="s">
        <v>484</v>
      </c>
      <c r="C615" t="s">
        <v>1398</v>
      </c>
      <c r="D615">
        <v>12840.65</v>
      </c>
      <c r="E615" s="2">
        <v>44862</v>
      </c>
      <c r="F615" s="2"/>
      <c r="H615" t="s">
        <v>1416</v>
      </c>
    </row>
    <row r="616" spans="1:8" x14ac:dyDescent="0.35">
      <c r="A616" t="s">
        <v>2014</v>
      </c>
      <c r="B616" t="s">
        <v>1042</v>
      </c>
      <c r="C616" t="s">
        <v>1401</v>
      </c>
      <c r="D616">
        <v>15279.47</v>
      </c>
      <c r="E616" s="2">
        <v>44620</v>
      </c>
      <c r="F616" s="2">
        <v>44636</v>
      </c>
      <c r="G616">
        <v>16</v>
      </c>
      <c r="H616" t="s">
        <v>1399</v>
      </c>
    </row>
    <row r="617" spans="1:8" x14ac:dyDescent="0.35">
      <c r="A617" t="s">
        <v>2015</v>
      </c>
      <c r="B617" t="s">
        <v>1171</v>
      </c>
      <c r="C617" t="s">
        <v>1398</v>
      </c>
      <c r="D617">
        <v>15071.32</v>
      </c>
      <c r="E617" s="2">
        <v>45440</v>
      </c>
      <c r="F617" s="2">
        <v>45450</v>
      </c>
      <c r="G617">
        <v>10</v>
      </c>
      <c r="H617" t="s">
        <v>1399</v>
      </c>
    </row>
    <row r="618" spans="1:8" x14ac:dyDescent="0.35">
      <c r="A618" t="s">
        <v>2016</v>
      </c>
      <c r="B618" t="s">
        <v>1189</v>
      </c>
      <c r="C618" t="s">
        <v>1401</v>
      </c>
      <c r="D618">
        <v>34421.300000000003</v>
      </c>
      <c r="E618" s="2">
        <v>44954</v>
      </c>
      <c r="F618" s="2">
        <v>44959</v>
      </c>
      <c r="G618">
        <v>5</v>
      </c>
      <c r="H618" t="s">
        <v>1399</v>
      </c>
    </row>
    <row r="619" spans="1:8" x14ac:dyDescent="0.35">
      <c r="A619" t="s">
        <v>2017</v>
      </c>
      <c r="B619" t="s">
        <v>1076</v>
      </c>
      <c r="C619" t="s">
        <v>1398</v>
      </c>
      <c r="D619">
        <v>3404</v>
      </c>
      <c r="E619" s="2">
        <v>44801</v>
      </c>
      <c r="F619" s="2"/>
      <c r="H619" t="s">
        <v>1416</v>
      </c>
    </row>
    <row r="620" spans="1:8" x14ac:dyDescent="0.35">
      <c r="A620" t="s">
        <v>2018</v>
      </c>
      <c r="B620" t="s">
        <v>556</v>
      </c>
      <c r="C620" t="s">
        <v>1394</v>
      </c>
      <c r="E620" s="2">
        <v>45044</v>
      </c>
      <c r="F620" s="2"/>
      <c r="H620" t="s">
        <v>1395</v>
      </c>
    </row>
    <row r="621" spans="1:8" x14ac:dyDescent="0.35">
      <c r="A621" t="s">
        <v>2019</v>
      </c>
      <c r="B621" t="s">
        <v>1020</v>
      </c>
      <c r="C621" t="s">
        <v>1398</v>
      </c>
      <c r="D621">
        <v>15645.37</v>
      </c>
      <c r="E621" s="2">
        <v>45013</v>
      </c>
      <c r="F621" s="2">
        <v>45026</v>
      </c>
      <c r="G621">
        <v>13</v>
      </c>
      <c r="H621" t="s">
        <v>1399</v>
      </c>
    </row>
    <row r="622" spans="1:8" x14ac:dyDescent="0.35">
      <c r="A622" t="s">
        <v>2020</v>
      </c>
      <c r="B622" t="s">
        <v>939</v>
      </c>
      <c r="C622" t="s">
        <v>1394</v>
      </c>
      <c r="E622" s="2">
        <v>45135</v>
      </c>
      <c r="F622" s="2"/>
      <c r="H622" t="s">
        <v>1395</v>
      </c>
    </row>
    <row r="623" spans="1:8" x14ac:dyDescent="0.35">
      <c r="A623" t="s">
        <v>2021</v>
      </c>
      <c r="B623" t="s">
        <v>822</v>
      </c>
      <c r="C623" t="s">
        <v>1394</v>
      </c>
      <c r="E623" s="2">
        <v>44923</v>
      </c>
      <c r="F623" s="2"/>
      <c r="H623" t="s">
        <v>1395</v>
      </c>
    </row>
    <row r="624" spans="1:8" x14ac:dyDescent="0.35">
      <c r="A624" t="s">
        <v>2022</v>
      </c>
      <c r="B624" t="s">
        <v>604</v>
      </c>
      <c r="C624" t="s">
        <v>1398</v>
      </c>
      <c r="D624">
        <v>12266.26</v>
      </c>
      <c r="E624" s="2">
        <v>44893</v>
      </c>
      <c r="F624" s="2">
        <v>44905</v>
      </c>
      <c r="G624">
        <v>12</v>
      </c>
      <c r="H624" t="s">
        <v>1399</v>
      </c>
    </row>
    <row r="625" spans="1:8" x14ac:dyDescent="0.35">
      <c r="A625" t="s">
        <v>2023</v>
      </c>
      <c r="B625" t="s">
        <v>911</v>
      </c>
      <c r="C625" t="s">
        <v>1394</v>
      </c>
      <c r="E625" s="2">
        <v>45013</v>
      </c>
      <c r="F625" s="2"/>
      <c r="H625" t="s">
        <v>1395</v>
      </c>
    </row>
    <row r="626" spans="1:8" x14ac:dyDescent="0.35">
      <c r="A626" t="s">
        <v>2024</v>
      </c>
      <c r="B626" t="s">
        <v>492</v>
      </c>
      <c r="C626" t="s">
        <v>1394</v>
      </c>
      <c r="E626" s="2">
        <v>44770</v>
      </c>
      <c r="F626" s="2"/>
      <c r="H626" t="s">
        <v>1395</v>
      </c>
    </row>
    <row r="627" spans="1:8" x14ac:dyDescent="0.35">
      <c r="A627" t="s">
        <v>2025</v>
      </c>
      <c r="B627" t="s">
        <v>1239</v>
      </c>
      <c r="C627" t="s">
        <v>1398</v>
      </c>
      <c r="D627">
        <v>13284.1</v>
      </c>
      <c r="E627" s="2">
        <v>45532</v>
      </c>
      <c r="F627" s="2">
        <v>45539</v>
      </c>
      <c r="G627">
        <v>7</v>
      </c>
      <c r="H627" t="s">
        <v>1399</v>
      </c>
    </row>
    <row r="628" spans="1:8" x14ac:dyDescent="0.35">
      <c r="A628" t="s">
        <v>2026</v>
      </c>
      <c r="B628" t="s">
        <v>1178</v>
      </c>
      <c r="C628" t="s">
        <v>1401</v>
      </c>
      <c r="D628">
        <v>31530.35</v>
      </c>
      <c r="E628" s="2">
        <v>45654</v>
      </c>
      <c r="F628" s="2">
        <v>45690</v>
      </c>
      <c r="G628">
        <v>36</v>
      </c>
      <c r="H628" t="s">
        <v>1399</v>
      </c>
    </row>
    <row r="629" spans="1:8" x14ac:dyDescent="0.35">
      <c r="A629" t="s">
        <v>2027</v>
      </c>
      <c r="B629" t="s">
        <v>919</v>
      </c>
      <c r="C629" t="s">
        <v>1398</v>
      </c>
      <c r="D629">
        <v>19549.490000000002</v>
      </c>
      <c r="E629" s="2">
        <v>45593</v>
      </c>
      <c r="F629" s="2">
        <v>45650</v>
      </c>
      <c r="G629">
        <v>57</v>
      </c>
      <c r="H629" t="s">
        <v>1399</v>
      </c>
    </row>
    <row r="630" spans="1:8" x14ac:dyDescent="0.35">
      <c r="A630" t="s">
        <v>2028</v>
      </c>
      <c r="B630" t="s">
        <v>629</v>
      </c>
      <c r="C630" t="s">
        <v>1401</v>
      </c>
      <c r="D630">
        <v>31832.51</v>
      </c>
      <c r="E630" s="2">
        <v>45379</v>
      </c>
      <c r="F630" s="2">
        <v>45386</v>
      </c>
      <c r="G630">
        <v>7</v>
      </c>
      <c r="H630" t="s">
        <v>1399</v>
      </c>
    </row>
    <row r="631" spans="1:8" x14ac:dyDescent="0.35">
      <c r="A631" t="s">
        <v>2029</v>
      </c>
      <c r="B631" t="s">
        <v>1118</v>
      </c>
      <c r="C631" t="s">
        <v>1394</v>
      </c>
      <c r="E631" s="2">
        <v>44620</v>
      </c>
      <c r="F631" s="2"/>
      <c r="H631" t="s">
        <v>1395</v>
      </c>
    </row>
    <row r="632" spans="1:8" x14ac:dyDescent="0.35">
      <c r="A632" t="s">
        <v>2030</v>
      </c>
      <c r="B632" t="s">
        <v>764</v>
      </c>
      <c r="C632" t="s">
        <v>1394</v>
      </c>
      <c r="E632" s="2">
        <v>45410</v>
      </c>
      <c r="F632" s="2"/>
      <c r="H632" t="s">
        <v>1395</v>
      </c>
    </row>
    <row r="633" spans="1:8" x14ac:dyDescent="0.35">
      <c r="A633" t="s">
        <v>2031</v>
      </c>
      <c r="B633" t="s">
        <v>652</v>
      </c>
      <c r="C633" t="s">
        <v>1401</v>
      </c>
      <c r="D633">
        <v>36380.21</v>
      </c>
      <c r="E633" s="2">
        <v>45105</v>
      </c>
      <c r="F633" s="2">
        <v>45119</v>
      </c>
      <c r="G633">
        <v>14</v>
      </c>
      <c r="H633" t="s">
        <v>1399</v>
      </c>
    </row>
    <row r="634" spans="1:8" x14ac:dyDescent="0.35">
      <c r="A634" t="s">
        <v>2032</v>
      </c>
      <c r="B634" t="s">
        <v>792</v>
      </c>
      <c r="C634" t="s">
        <v>1394</v>
      </c>
      <c r="E634" s="2">
        <v>45166</v>
      </c>
      <c r="F634" s="2"/>
      <c r="H634" t="s">
        <v>1395</v>
      </c>
    </row>
    <row r="635" spans="1:8" x14ac:dyDescent="0.35">
      <c r="A635" t="s">
        <v>2033</v>
      </c>
      <c r="B635" t="s">
        <v>1088</v>
      </c>
      <c r="C635" t="s">
        <v>1398</v>
      </c>
      <c r="D635">
        <v>15215.42</v>
      </c>
      <c r="E635" s="2">
        <v>45135</v>
      </c>
      <c r="F635" s="2"/>
      <c r="H635" t="s">
        <v>1416</v>
      </c>
    </row>
    <row r="636" spans="1:8" x14ac:dyDescent="0.35">
      <c r="A636" t="s">
        <v>2034</v>
      </c>
      <c r="B636" t="s">
        <v>1320</v>
      </c>
      <c r="C636" t="s">
        <v>1398</v>
      </c>
      <c r="E636" s="2">
        <v>44648</v>
      </c>
      <c r="F636" s="2"/>
      <c r="H636" t="s">
        <v>1416</v>
      </c>
    </row>
    <row r="637" spans="1:8" x14ac:dyDescent="0.35">
      <c r="A637" t="s">
        <v>2035</v>
      </c>
      <c r="B637" t="s">
        <v>1235</v>
      </c>
      <c r="C637" t="s">
        <v>1401</v>
      </c>
      <c r="D637">
        <v>6359.83</v>
      </c>
      <c r="E637" s="2">
        <v>44770</v>
      </c>
      <c r="F637" s="2">
        <v>44813</v>
      </c>
      <c r="G637">
        <v>43</v>
      </c>
      <c r="H637" t="s">
        <v>1399</v>
      </c>
    </row>
    <row r="638" spans="1:8" x14ac:dyDescent="0.35">
      <c r="A638" t="s">
        <v>2036</v>
      </c>
      <c r="B638" t="s">
        <v>702</v>
      </c>
      <c r="C638" t="s">
        <v>1394</v>
      </c>
      <c r="E638" s="2">
        <v>45044</v>
      </c>
      <c r="F638" s="2"/>
      <c r="H638" t="s">
        <v>1395</v>
      </c>
    </row>
    <row r="639" spans="1:8" x14ac:dyDescent="0.35">
      <c r="A639" t="s">
        <v>2037</v>
      </c>
      <c r="B639" t="s">
        <v>621</v>
      </c>
      <c r="C639" t="s">
        <v>1401</v>
      </c>
      <c r="D639">
        <v>23578.05</v>
      </c>
      <c r="E639" s="2">
        <v>45532</v>
      </c>
      <c r="F639" s="2">
        <v>45554</v>
      </c>
      <c r="G639">
        <v>22</v>
      </c>
      <c r="H639" t="s">
        <v>1399</v>
      </c>
    </row>
    <row r="640" spans="1:8" x14ac:dyDescent="0.35">
      <c r="A640" t="s">
        <v>2038</v>
      </c>
      <c r="B640" t="s">
        <v>1220</v>
      </c>
      <c r="C640" t="s">
        <v>1394</v>
      </c>
      <c r="E640" s="2">
        <v>44954</v>
      </c>
      <c r="F640" s="2"/>
      <c r="H640" t="s">
        <v>1395</v>
      </c>
    </row>
    <row r="641" spans="1:8" x14ac:dyDescent="0.35">
      <c r="A641" t="s">
        <v>2039</v>
      </c>
      <c r="B641" t="s">
        <v>420</v>
      </c>
      <c r="C641" t="s">
        <v>1398</v>
      </c>
      <c r="D641">
        <v>18392.72</v>
      </c>
      <c r="E641" s="2">
        <v>45105</v>
      </c>
      <c r="F641" s="2">
        <v>45118</v>
      </c>
      <c r="G641">
        <v>13</v>
      </c>
      <c r="H641" t="s">
        <v>1399</v>
      </c>
    </row>
    <row r="642" spans="1:8" x14ac:dyDescent="0.35">
      <c r="A642" t="s">
        <v>2040</v>
      </c>
      <c r="B642" t="s">
        <v>1310</v>
      </c>
      <c r="C642" t="s">
        <v>1401</v>
      </c>
      <c r="D642">
        <v>37506.879999999997</v>
      </c>
      <c r="E642" s="2">
        <v>45166</v>
      </c>
      <c r="F642" s="2">
        <v>45233</v>
      </c>
      <c r="G642">
        <v>67</v>
      </c>
      <c r="H642" t="s">
        <v>1399</v>
      </c>
    </row>
    <row r="643" spans="1:8" x14ac:dyDescent="0.35">
      <c r="A643" t="s">
        <v>2041</v>
      </c>
      <c r="B643" t="s">
        <v>1185</v>
      </c>
      <c r="C643" t="s">
        <v>1401</v>
      </c>
      <c r="D643">
        <v>37117.03</v>
      </c>
      <c r="E643" s="2">
        <v>45044</v>
      </c>
      <c r="F643" s="2">
        <v>45059</v>
      </c>
      <c r="G643">
        <v>15</v>
      </c>
      <c r="H643" t="s">
        <v>1399</v>
      </c>
    </row>
    <row r="644" spans="1:8" x14ac:dyDescent="0.35">
      <c r="A644" t="s">
        <v>2042</v>
      </c>
      <c r="B644" t="s">
        <v>804</v>
      </c>
      <c r="C644" t="s">
        <v>1398</v>
      </c>
      <c r="D644">
        <v>13907.75</v>
      </c>
      <c r="E644" s="2">
        <v>45166</v>
      </c>
      <c r="F644" s="2">
        <v>45186</v>
      </c>
      <c r="G644">
        <v>20</v>
      </c>
      <c r="H644" t="s">
        <v>1399</v>
      </c>
    </row>
    <row r="645" spans="1:8" x14ac:dyDescent="0.35">
      <c r="A645" t="s">
        <v>2043</v>
      </c>
      <c r="B645" t="s">
        <v>763</v>
      </c>
      <c r="C645" t="s">
        <v>1398</v>
      </c>
      <c r="E645" s="2">
        <v>45532</v>
      </c>
      <c r="F645" s="2"/>
      <c r="H645" t="s">
        <v>1416</v>
      </c>
    </row>
    <row r="646" spans="1:8" x14ac:dyDescent="0.35">
      <c r="A646" t="s">
        <v>2044</v>
      </c>
      <c r="B646" t="s">
        <v>576</v>
      </c>
      <c r="C646" t="s">
        <v>1401</v>
      </c>
      <c r="D646">
        <v>35437.42</v>
      </c>
      <c r="E646" s="2">
        <v>45319</v>
      </c>
      <c r="F646" s="2">
        <v>45327</v>
      </c>
      <c r="G646">
        <v>8</v>
      </c>
      <c r="H646" t="s">
        <v>1399</v>
      </c>
    </row>
    <row r="647" spans="1:8" x14ac:dyDescent="0.35">
      <c r="A647" t="s">
        <v>2045</v>
      </c>
      <c r="B647" t="s">
        <v>554</v>
      </c>
      <c r="C647" t="s">
        <v>1394</v>
      </c>
      <c r="E647" s="2">
        <v>44648</v>
      </c>
      <c r="F647" s="2"/>
      <c r="H647" t="s">
        <v>1395</v>
      </c>
    </row>
    <row r="648" spans="1:8" x14ac:dyDescent="0.35">
      <c r="A648" t="s">
        <v>2046</v>
      </c>
      <c r="B648" t="s">
        <v>813</v>
      </c>
      <c r="C648" t="s">
        <v>1398</v>
      </c>
      <c r="D648">
        <v>12779.96</v>
      </c>
      <c r="E648" s="2">
        <v>45350</v>
      </c>
      <c r="F648" s="2">
        <v>45364</v>
      </c>
      <c r="G648">
        <v>14</v>
      </c>
      <c r="H648" t="s">
        <v>1399</v>
      </c>
    </row>
    <row r="649" spans="1:8" x14ac:dyDescent="0.35">
      <c r="A649" t="s">
        <v>2047</v>
      </c>
      <c r="B649" t="s">
        <v>1255</v>
      </c>
      <c r="C649" t="s">
        <v>1401</v>
      </c>
      <c r="D649">
        <v>11565.31</v>
      </c>
      <c r="E649" s="2">
        <v>45319</v>
      </c>
      <c r="F649" s="2">
        <v>45324</v>
      </c>
      <c r="G649">
        <v>5</v>
      </c>
      <c r="H649" t="s">
        <v>1399</v>
      </c>
    </row>
    <row r="650" spans="1:8" x14ac:dyDescent="0.35">
      <c r="A650" t="s">
        <v>2048</v>
      </c>
      <c r="B650" t="s">
        <v>812</v>
      </c>
      <c r="C650" t="s">
        <v>1394</v>
      </c>
      <c r="E650" s="2">
        <v>45471</v>
      </c>
      <c r="F650" s="2"/>
      <c r="H650" t="s">
        <v>1395</v>
      </c>
    </row>
    <row r="651" spans="1:8" x14ac:dyDescent="0.35">
      <c r="A651" t="s">
        <v>2049</v>
      </c>
      <c r="B651" t="s">
        <v>1092</v>
      </c>
      <c r="C651" t="s">
        <v>1394</v>
      </c>
      <c r="E651" s="2">
        <v>45563</v>
      </c>
      <c r="F651" s="2"/>
      <c r="H651" t="s">
        <v>1395</v>
      </c>
    </row>
    <row r="652" spans="1:8" x14ac:dyDescent="0.35">
      <c r="A652" t="s">
        <v>2050</v>
      </c>
      <c r="B652" t="s">
        <v>1204</v>
      </c>
      <c r="C652" t="s">
        <v>1401</v>
      </c>
      <c r="D652">
        <v>17413.009999999998</v>
      </c>
      <c r="E652" s="2">
        <v>44620</v>
      </c>
      <c r="F652" s="2">
        <v>44623</v>
      </c>
      <c r="G652">
        <v>3</v>
      </c>
      <c r="H652" t="s">
        <v>1399</v>
      </c>
    </row>
    <row r="653" spans="1:8" x14ac:dyDescent="0.35">
      <c r="A653" t="s">
        <v>2051</v>
      </c>
      <c r="B653" t="s">
        <v>631</v>
      </c>
      <c r="C653" t="s">
        <v>1401</v>
      </c>
      <c r="D653">
        <v>32350.12</v>
      </c>
      <c r="E653" s="2">
        <v>44620</v>
      </c>
      <c r="F653" s="2">
        <v>44622</v>
      </c>
      <c r="G653">
        <v>2</v>
      </c>
      <c r="H653" t="s">
        <v>1399</v>
      </c>
    </row>
    <row r="654" spans="1:8" x14ac:dyDescent="0.35">
      <c r="A654" t="s">
        <v>2052</v>
      </c>
      <c r="B654" t="s">
        <v>1346</v>
      </c>
      <c r="C654" t="s">
        <v>1401</v>
      </c>
      <c r="D654">
        <v>35922.230000000003</v>
      </c>
      <c r="E654" s="2">
        <v>45440</v>
      </c>
      <c r="F654" s="2">
        <v>45450</v>
      </c>
      <c r="G654">
        <v>10</v>
      </c>
      <c r="H654" t="s">
        <v>1399</v>
      </c>
    </row>
    <row r="655" spans="1:8" x14ac:dyDescent="0.35">
      <c r="A655" t="s">
        <v>2053</v>
      </c>
      <c r="B655" t="s">
        <v>978</v>
      </c>
      <c r="C655" t="s">
        <v>1394</v>
      </c>
      <c r="E655" s="2">
        <v>45501</v>
      </c>
      <c r="F655" s="2"/>
      <c r="H655" t="s">
        <v>1395</v>
      </c>
    </row>
    <row r="656" spans="1:8" x14ac:dyDescent="0.35">
      <c r="A656" t="s">
        <v>2054</v>
      </c>
      <c r="B656" t="s">
        <v>871</v>
      </c>
      <c r="C656" t="s">
        <v>1401</v>
      </c>
      <c r="D656">
        <v>34945</v>
      </c>
      <c r="E656" s="2">
        <v>45105</v>
      </c>
      <c r="F656" s="2">
        <v>45148</v>
      </c>
      <c r="G656">
        <v>43</v>
      </c>
      <c r="H656" t="s">
        <v>1399</v>
      </c>
    </row>
    <row r="657" spans="1:8" x14ac:dyDescent="0.35">
      <c r="A657" t="s">
        <v>2055</v>
      </c>
      <c r="B657" t="s">
        <v>659</v>
      </c>
      <c r="C657" t="s">
        <v>1401</v>
      </c>
      <c r="D657">
        <v>25623.439999999999</v>
      </c>
      <c r="E657" s="2">
        <v>45350</v>
      </c>
      <c r="F657" s="2">
        <v>45371</v>
      </c>
      <c r="G657">
        <v>21</v>
      </c>
      <c r="H657" t="s">
        <v>1399</v>
      </c>
    </row>
    <row r="658" spans="1:8" x14ac:dyDescent="0.35">
      <c r="A658" t="s">
        <v>2056</v>
      </c>
      <c r="B658" t="s">
        <v>1190</v>
      </c>
      <c r="C658" t="s">
        <v>1401</v>
      </c>
      <c r="D658">
        <v>26763.279999999999</v>
      </c>
      <c r="E658" s="2">
        <v>45379</v>
      </c>
      <c r="F658" s="2">
        <v>45420</v>
      </c>
      <c r="G658">
        <v>41</v>
      </c>
      <c r="H658" t="s">
        <v>1399</v>
      </c>
    </row>
    <row r="659" spans="1:8" x14ac:dyDescent="0.35">
      <c r="A659" t="s">
        <v>2057</v>
      </c>
      <c r="B659" t="s">
        <v>675</v>
      </c>
      <c r="C659" t="s">
        <v>1398</v>
      </c>
      <c r="D659">
        <v>11557.89</v>
      </c>
      <c r="E659" s="2">
        <v>45654</v>
      </c>
      <c r="F659" s="2">
        <v>45665</v>
      </c>
      <c r="G659">
        <v>11</v>
      </c>
      <c r="H659" t="s">
        <v>1399</v>
      </c>
    </row>
    <row r="660" spans="1:8" x14ac:dyDescent="0.35">
      <c r="A660" t="s">
        <v>2058</v>
      </c>
      <c r="B660" t="s">
        <v>881</v>
      </c>
      <c r="C660" t="s">
        <v>1398</v>
      </c>
      <c r="D660">
        <v>7612.74</v>
      </c>
      <c r="E660" s="2">
        <v>44923</v>
      </c>
      <c r="F660" s="2">
        <v>44929</v>
      </c>
      <c r="G660">
        <v>6</v>
      </c>
      <c r="H660" t="s">
        <v>1399</v>
      </c>
    </row>
    <row r="661" spans="1:8" x14ac:dyDescent="0.35">
      <c r="A661" t="s">
        <v>2059</v>
      </c>
      <c r="B661" t="s">
        <v>993</v>
      </c>
      <c r="C661" t="s">
        <v>1401</v>
      </c>
      <c r="D661">
        <v>3759.43</v>
      </c>
      <c r="E661" s="2">
        <v>44770</v>
      </c>
      <c r="F661" s="2">
        <v>44773</v>
      </c>
      <c r="G661">
        <v>3</v>
      </c>
      <c r="H661" t="s">
        <v>1399</v>
      </c>
    </row>
    <row r="662" spans="1:8" x14ac:dyDescent="0.35">
      <c r="A662" t="s">
        <v>2060</v>
      </c>
      <c r="B662" t="s">
        <v>773</v>
      </c>
      <c r="C662" t="s">
        <v>1398</v>
      </c>
      <c r="D662">
        <v>4230.2299999999996</v>
      </c>
      <c r="E662" s="2">
        <v>45563</v>
      </c>
      <c r="F662" s="2">
        <v>45581</v>
      </c>
      <c r="G662">
        <v>18</v>
      </c>
      <c r="H662" t="s">
        <v>1399</v>
      </c>
    </row>
    <row r="663" spans="1:8" x14ac:dyDescent="0.35">
      <c r="A663" t="s">
        <v>2061</v>
      </c>
      <c r="B663" t="s">
        <v>1013</v>
      </c>
      <c r="C663" t="s">
        <v>1398</v>
      </c>
      <c r="E663" s="2">
        <v>45379</v>
      </c>
      <c r="F663" s="2"/>
      <c r="H663" t="s">
        <v>1416</v>
      </c>
    </row>
    <row r="664" spans="1:8" x14ac:dyDescent="0.35">
      <c r="A664" t="s">
        <v>2062</v>
      </c>
      <c r="B664" t="s">
        <v>1274</v>
      </c>
      <c r="C664" t="s">
        <v>1401</v>
      </c>
      <c r="D664">
        <v>907.57</v>
      </c>
      <c r="E664" s="2">
        <v>45350</v>
      </c>
      <c r="F664" s="2">
        <v>45368</v>
      </c>
      <c r="G664">
        <v>18</v>
      </c>
      <c r="H664" t="s">
        <v>1399</v>
      </c>
    </row>
    <row r="665" spans="1:8" x14ac:dyDescent="0.35">
      <c r="A665" t="s">
        <v>2063</v>
      </c>
      <c r="B665" t="s">
        <v>545</v>
      </c>
      <c r="C665" t="s">
        <v>1401</v>
      </c>
      <c r="D665">
        <v>7944.64</v>
      </c>
      <c r="E665" s="2">
        <v>44589</v>
      </c>
      <c r="F665" s="2">
        <v>44597</v>
      </c>
      <c r="G665">
        <v>8</v>
      </c>
      <c r="H665" t="s">
        <v>1399</v>
      </c>
    </row>
    <row r="666" spans="1:8" x14ac:dyDescent="0.35">
      <c r="A666" t="s">
        <v>2064</v>
      </c>
      <c r="B666" t="s">
        <v>1206</v>
      </c>
      <c r="C666" t="s">
        <v>1401</v>
      </c>
      <c r="D666">
        <v>23666.38</v>
      </c>
      <c r="E666" s="2">
        <v>44923</v>
      </c>
      <c r="F666" s="2">
        <v>44933</v>
      </c>
      <c r="G666">
        <v>10</v>
      </c>
      <c r="H666" t="s">
        <v>1399</v>
      </c>
    </row>
    <row r="667" spans="1:8" x14ac:dyDescent="0.35">
      <c r="A667" t="s">
        <v>2065</v>
      </c>
      <c r="B667" t="s">
        <v>457</v>
      </c>
      <c r="C667" t="s">
        <v>1398</v>
      </c>
      <c r="D667">
        <v>4100.72</v>
      </c>
      <c r="E667" s="2">
        <v>45044</v>
      </c>
      <c r="F667" s="2">
        <v>45044</v>
      </c>
      <c r="G667">
        <v>0</v>
      </c>
      <c r="H667" t="s">
        <v>1399</v>
      </c>
    </row>
    <row r="668" spans="1:8" x14ac:dyDescent="0.35">
      <c r="A668" t="s">
        <v>2066</v>
      </c>
      <c r="B668" t="s">
        <v>731</v>
      </c>
      <c r="C668" t="s">
        <v>1394</v>
      </c>
      <c r="E668" s="2">
        <v>45501</v>
      </c>
      <c r="F668" s="2"/>
      <c r="H668" t="s">
        <v>1395</v>
      </c>
    </row>
    <row r="669" spans="1:8" x14ac:dyDescent="0.35">
      <c r="A669" t="s">
        <v>2067</v>
      </c>
      <c r="B669" t="s">
        <v>651</v>
      </c>
      <c r="C669" t="s">
        <v>1398</v>
      </c>
      <c r="D669">
        <v>5743.05</v>
      </c>
      <c r="E669" s="2">
        <v>45013</v>
      </c>
      <c r="F669" s="2">
        <v>45025</v>
      </c>
      <c r="G669">
        <v>12</v>
      </c>
      <c r="H669" t="s">
        <v>1399</v>
      </c>
    </row>
    <row r="670" spans="1:8" x14ac:dyDescent="0.35">
      <c r="A670" t="s">
        <v>2068</v>
      </c>
      <c r="B670" t="s">
        <v>1360</v>
      </c>
      <c r="C670" t="s">
        <v>1401</v>
      </c>
      <c r="D670">
        <v>30348.01</v>
      </c>
      <c r="E670" s="2">
        <v>44862</v>
      </c>
      <c r="F670" s="2">
        <v>44893</v>
      </c>
      <c r="G670">
        <v>31</v>
      </c>
      <c r="H670" t="s">
        <v>1399</v>
      </c>
    </row>
    <row r="671" spans="1:8" x14ac:dyDescent="0.35">
      <c r="A671" t="s">
        <v>2069</v>
      </c>
      <c r="B671" t="s">
        <v>646</v>
      </c>
      <c r="C671" t="s">
        <v>1394</v>
      </c>
      <c r="E671" s="2">
        <v>44648</v>
      </c>
      <c r="F671" s="2"/>
      <c r="H671" t="s">
        <v>1395</v>
      </c>
    </row>
    <row r="672" spans="1:8" x14ac:dyDescent="0.35">
      <c r="A672" t="s">
        <v>2070</v>
      </c>
      <c r="B672" t="s">
        <v>687</v>
      </c>
      <c r="C672" t="s">
        <v>1394</v>
      </c>
      <c r="E672" s="2">
        <v>44709</v>
      </c>
      <c r="F672" s="2"/>
      <c r="H672" t="s">
        <v>1395</v>
      </c>
    </row>
    <row r="673" spans="1:8" x14ac:dyDescent="0.35">
      <c r="A673" t="s">
        <v>2071</v>
      </c>
      <c r="B673" t="s">
        <v>960</v>
      </c>
      <c r="C673" t="s">
        <v>1394</v>
      </c>
      <c r="E673" s="2">
        <v>44862</v>
      </c>
      <c r="F673" s="2"/>
      <c r="H673" t="s">
        <v>1395</v>
      </c>
    </row>
    <row r="674" spans="1:8" x14ac:dyDescent="0.35">
      <c r="A674" t="s">
        <v>2072</v>
      </c>
      <c r="B674" t="s">
        <v>870</v>
      </c>
      <c r="C674" t="s">
        <v>1394</v>
      </c>
      <c r="E674" s="2">
        <v>44893</v>
      </c>
      <c r="F674" s="2"/>
      <c r="H674" t="s">
        <v>1395</v>
      </c>
    </row>
    <row r="675" spans="1:8" x14ac:dyDescent="0.35">
      <c r="A675" t="s">
        <v>2073</v>
      </c>
      <c r="B675" t="s">
        <v>1022</v>
      </c>
      <c r="C675" t="s">
        <v>1394</v>
      </c>
      <c r="E675" s="2">
        <v>45227</v>
      </c>
      <c r="F675" s="2"/>
      <c r="H675" t="s">
        <v>1395</v>
      </c>
    </row>
    <row r="676" spans="1:8" x14ac:dyDescent="0.35">
      <c r="A676" t="s">
        <v>2074</v>
      </c>
      <c r="B676" t="s">
        <v>805</v>
      </c>
      <c r="C676" t="s">
        <v>1394</v>
      </c>
      <c r="E676" s="2">
        <v>45532</v>
      </c>
      <c r="F676" s="2"/>
      <c r="H676" t="s">
        <v>1395</v>
      </c>
    </row>
    <row r="677" spans="1:8" x14ac:dyDescent="0.35">
      <c r="A677" t="s">
        <v>2075</v>
      </c>
      <c r="B677" t="s">
        <v>1056</v>
      </c>
      <c r="C677" t="s">
        <v>1401</v>
      </c>
      <c r="D677">
        <v>13178.6</v>
      </c>
      <c r="E677" s="2">
        <v>44709</v>
      </c>
      <c r="F677" s="2">
        <v>44718</v>
      </c>
      <c r="G677">
        <v>9</v>
      </c>
      <c r="H677" t="s">
        <v>1399</v>
      </c>
    </row>
    <row r="678" spans="1:8" x14ac:dyDescent="0.35">
      <c r="A678" t="s">
        <v>2076</v>
      </c>
      <c r="B678" t="s">
        <v>1059</v>
      </c>
      <c r="C678" t="s">
        <v>1401</v>
      </c>
      <c r="D678">
        <v>8894.4599999999991</v>
      </c>
      <c r="E678" s="2">
        <v>45532</v>
      </c>
      <c r="F678" s="2">
        <v>45547</v>
      </c>
      <c r="G678">
        <v>15</v>
      </c>
      <c r="H678" t="s">
        <v>1399</v>
      </c>
    </row>
    <row r="679" spans="1:8" x14ac:dyDescent="0.35">
      <c r="A679" t="s">
        <v>2077</v>
      </c>
      <c r="B679" t="s">
        <v>832</v>
      </c>
      <c r="C679" t="s">
        <v>1398</v>
      </c>
      <c r="D679">
        <v>13451.32</v>
      </c>
      <c r="E679" s="2">
        <v>45624</v>
      </c>
      <c r="F679" s="2"/>
      <c r="H679" t="s">
        <v>1416</v>
      </c>
    </row>
    <row r="680" spans="1:8" x14ac:dyDescent="0.35">
      <c r="A680" t="s">
        <v>2078</v>
      </c>
      <c r="B680" t="s">
        <v>930</v>
      </c>
      <c r="C680" t="s">
        <v>1394</v>
      </c>
      <c r="E680" s="2">
        <v>45379</v>
      </c>
      <c r="F680" s="2"/>
      <c r="H680" t="s">
        <v>1395</v>
      </c>
    </row>
    <row r="681" spans="1:8" x14ac:dyDescent="0.35">
      <c r="A681" t="s">
        <v>2079</v>
      </c>
      <c r="B681" t="s">
        <v>741</v>
      </c>
      <c r="C681" t="s">
        <v>1394</v>
      </c>
      <c r="E681" s="2">
        <v>45013</v>
      </c>
      <c r="F681" s="2"/>
      <c r="H681" t="s">
        <v>1395</v>
      </c>
    </row>
    <row r="682" spans="1:8" x14ac:dyDescent="0.35">
      <c r="A682" t="s">
        <v>2080</v>
      </c>
      <c r="B682" t="s">
        <v>854</v>
      </c>
      <c r="C682" t="s">
        <v>1398</v>
      </c>
      <c r="D682">
        <v>9678.7900000000009</v>
      </c>
      <c r="E682" s="2">
        <v>45044</v>
      </c>
      <c r="F682" s="2"/>
      <c r="H682" t="s">
        <v>1416</v>
      </c>
    </row>
    <row r="683" spans="1:8" x14ac:dyDescent="0.35">
      <c r="A683" t="s">
        <v>2081</v>
      </c>
      <c r="B683" t="s">
        <v>632</v>
      </c>
      <c r="C683" t="s">
        <v>1398</v>
      </c>
      <c r="D683">
        <v>18087.509999999998</v>
      </c>
      <c r="E683" s="2">
        <v>45013</v>
      </c>
      <c r="F683" s="2">
        <v>45021</v>
      </c>
      <c r="G683">
        <v>8</v>
      </c>
      <c r="H683" t="s">
        <v>1399</v>
      </c>
    </row>
    <row r="684" spans="1:8" x14ac:dyDescent="0.35">
      <c r="A684" t="s">
        <v>2082</v>
      </c>
      <c r="B684" t="s">
        <v>1043</v>
      </c>
      <c r="C684" t="s">
        <v>1394</v>
      </c>
      <c r="E684" s="2">
        <v>45532</v>
      </c>
      <c r="F684" s="2"/>
      <c r="H684" t="s">
        <v>1395</v>
      </c>
    </row>
    <row r="685" spans="1:8" x14ac:dyDescent="0.35">
      <c r="A685" t="s">
        <v>2083</v>
      </c>
      <c r="B685" t="s">
        <v>1041</v>
      </c>
      <c r="C685" t="s">
        <v>1394</v>
      </c>
      <c r="E685" s="2">
        <v>44770</v>
      </c>
      <c r="F685" s="2"/>
      <c r="H685" t="s">
        <v>1395</v>
      </c>
    </row>
    <row r="686" spans="1:8" x14ac:dyDescent="0.35">
      <c r="A686" t="s">
        <v>2084</v>
      </c>
      <c r="B686" t="s">
        <v>951</v>
      </c>
      <c r="C686" t="s">
        <v>1398</v>
      </c>
      <c r="D686">
        <v>19697.669999999998</v>
      </c>
      <c r="E686" s="2">
        <v>44893</v>
      </c>
      <c r="F686" s="2">
        <v>44944</v>
      </c>
      <c r="G686">
        <v>51</v>
      </c>
      <c r="H686" t="s">
        <v>1399</v>
      </c>
    </row>
    <row r="687" spans="1:8" x14ac:dyDescent="0.35">
      <c r="A687" t="s">
        <v>2085</v>
      </c>
      <c r="B687" t="s">
        <v>1380</v>
      </c>
      <c r="C687" t="s">
        <v>1401</v>
      </c>
      <c r="D687">
        <v>11753.72</v>
      </c>
      <c r="E687" s="2">
        <v>45105</v>
      </c>
      <c r="F687" s="2">
        <v>45111</v>
      </c>
      <c r="G687">
        <v>6</v>
      </c>
      <c r="H687" t="s">
        <v>1399</v>
      </c>
    </row>
    <row r="688" spans="1:8" x14ac:dyDescent="0.35">
      <c r="A688" t="s">
        <v>2086</v>
      </c>
      <c r="B688" t="s">
        <v>1012</v>
      </c>
      <c r="C688" t="s">
        <v>1394</v>
      </c>
      <c r="E688" s="2">
        <v>44801</v>
      </c>
      <c r="F688" s="2"/>
      <c r="H688" t="s">
        <v>1395</v>
      </c>
    </row>
    <row r="689" spans="1:8" x14ac:dyDescent="0.35">
      <c r="A689" t="s">
        <v>2087</v>
      </c>
      <c r="B689" t="s">
        <v>596</v>
      </c>
      <c r="C689" t="s">
        <v>1401</v>
      </c>
      <c r="D689">
        <v>35234.879999999997</v>
      </c>
      <c r="E689" s="2">
        <v>45501</v>
      </c>
      <c r="F689" s="2">
        <v>45514</v>
      </c>
      <c r="G689">
        <v>13</v>
      </c>
      <c r="H689" t="s">
        <v>1399</v>
      </c>
    </row>
    <row r="690" spans="1:8" x14ac:dyDescent="0.35">
      <c r="A690" t="s">
        <v>2088</v>
      </c>
      <c r="B690" t="s">
        <v>1334</v>
      </c>
      <c r="C690" t="s">
        <v>1394</v>
      </c>
      <c r="E690" s="2">
        <v>45197</v>
      </c>
      <c r="F690" s="2"/>
      <c r="H690" t="s">
        <v>1395</v>
      </c>
    </row>
    <row r="691" spans="1:8" x14ac:dyDescent="0.35">
      <c r="A691" t="s">
        <v>2089</v>
      </c>
      <c r="B691" t="s">
        <v>507</v>
      </c>
      <c r="C691" t="s">
        <v>1401</v>
      </c>
      <c r="D691">
        <v>5088.08</v>
      </c>
      <c r="E691" s="2">
        <v>45350</v>
      </c>
      <c r="F691" s="2">
        <v>45364</v>
      </c>
      <c r="G691">
        <v>14</v>
      </c>
      <c r="H691" t="s">
        <v>1399</v>
      </c>
    </row>
    <row r="692" spans="1:8" x14ac:dyDescent="0.35">
      <c r="A692" t="s">
        <v>2090</v>
      </c>
      <c r="B692" t="s">
        <v>1243</v>
      </c>
      <c r="C692" t="s">
        <v>1401</v>
      </c>
      <c r="D692">
        <v>5929.45</v>
      </c>
      <c r="E692" s="2">
        <v>44770</v>
      </c>
      <c r="F692" s="2">
        <v>44810</v>
      </c>
      <c r="G692">
        <v>40</v>
      </c>
      <c r="H692" t="s">
        <v>1399</v>
      </c>
    </row>
    <row r="693" spans="1:8" x14ac:dyDescent="0.35">
      <c r="A693" t="s">
        <v>2091</v>
      </c>
      <c r="B693" t="s">
        <v>945</v>
      </c>
      <c r="C693" t="s">
        <v>1394</v>
      </c>
      <c r="E693" s="2">
        <v>44709</v>
      </c>
      <c r="F693" s="2"/>
      <c r="H693" t="s">
        <v>1395</v>
      </c>
    </row>
    <row r="694" spans="1:8" x14ac:dyDescent="0.35">
      <c r="A694" t="s">
        <v>2092</v>
      </c>
      <c r="B694" t="s">
        <v>451</v>
      </c>
      <c r="C694" t="s">
        <v>1398</v>
      </c>
      <c r="D694">
        <v>6503.76</v>
      </c>
      <c r="E694" s="2">
        <v>45105</v>
      </c>
      <c r="F694" s="2">
        <v>45119</v>
      </c>
      <c r="G694">
        <v>14</v>
      </c>
      <c r="H694" t="s">
        <v>1399</v>
      </c>
    </row>
    <row r="695" spans="1:8" x14ac:dyDescent="0.35">
      <c r="A695" t="s">
        <v>2093</v>
      </c>
      <c r="B695" t="s">
        <v>582</v>
      </c>
      <c r="C695" t="s">
        <v>1394</v>
      </c>
      <c r="E695" s="2">
        <v>45593</v>
      </c>
      <c r="F695" s="2"/>
      <c r="H695" t="s">
        <v>1395</v>
      </c>
    </row>
    <row r="696" spans="1:8" x14ac:dyDescent="0.35">
      <c r="A696" t="s">
        <v>2094</v>
      </c>
      <c r="B696" t="s">
        <v>889</v>
      </c>
      <c r="C696" t="s">
        <v>1401</v>
      </c>
      <c r="D696">
        <v>23774.11</v>
      </c>
      <c r="E696" s="2">
        <v>45258</v>
      </c>
      <c r="F696" s="2">
        <v>45263</v>
      </c>
      <c r="G696">
        <v>5</v>
      </c>
      <c r="H696" t="s">
        <v>1399</v>
      </c>
    </row>
    <row r="697" spans="1:8" x14ac:dyDescent="0.35">
      <c r="A697" t="s">
        <v>2095</v>
      </c>
      <c r="B697" t="s">
        <v>1231</v>
      </c>
      <c r="C697" t="s">
        <v>1401</v>
      </c>
      <c r="D697">
        <v>6557.18</v>
      </c>
      <c r="E697" s="2">
        <v>45593</v>
      </c>
      <c r="F697" s="2">
        <v>45612</v>
      </c>
      <c r="G697">
        <v>19</v>
      </c>
      <c r="H697" t="s">
        <v>1399</v>
      </c>
    </row>
    <row r="698" spans="1:8" x14ac:dyDescent="0.35">
      <c r="A698" t="s">
        <v>2096</v>
      </c>
      <c r="B698" t="s">
        <v>469</v>
      </c>
      <c r="C698" t="s">
        <v>1398</v>
      </c>
      <c r="D698">
        <v>6151.84</v>
      </c>
      <c r="E698" s="2">
        <v>45593</v>
      </c>
      <c r="F698" s="2">
        <v>45606</v>
      </c>
      <c r="G698">
        <v>13</v>
      </c>
      <c r="H698" t="s">
        <v>1399</v>
      </c>
    </row>
    <row r="699" spans="1:8" x14ac:dyDescent="0.35">
      <c r="A699" t="s">
        <v>2097</v>
      </c>
      <c r="B699" t="s">
        <v>824</v>
      </c>
      <c r="C699" t="s">
        <v>1394</v>
      </c>
      <c r="E699" s="2">
        <v>45471</v>
      </c>
      <c r="F699" s="2"/>
      <c r="H699" t="s">
        <v>1395</v>
      </c>
    </row>
    <row r="700" spans="1:8" x14ac:dyDescent="0.35">
      <c r="A700" t="s">
        <v>2098</v>
      </c>
      <c r="B700" t="s">
        <v>996</v>
      </c>
      <c r="C700" t="s">
        <v>1398</v>
      </c>
      <c r="D700">
        <v>995.65</v>
      </c>
      <c r="E700" s="2">
        <v>45074</v>
      </c>
      <c r="F700" s="2">
        <v>45081</v>
      </c>
      <c r="G700">
        <v>7</v>
      </c>
      <c r="H700" t="s">
        <v>1399</v>
      </c>
    </row>
    <row r="701" spans="1:8" x14ac:dyDescent="0.35">
      <c r="A701" t="s">
        <v>2099</v>
      </c>
      <c r="B701" t="s">
        <v>1257</v>
      </c>
      <c r="C701" t="s">
        <v>1394</v>
      </c>
      <c r="E701" s="2">
        <v>45074</v>
      </c>
      <c r="F701" s="2"/>
      <c r="H701" t="s">
        <v>1395</v>
      </c>
    </row>
    <row r="702" spans="1:8" x14ac:dyDescent="0.35">
      <c r="A702" t="s">
        <v>2100</v>
      </c>
      <c r="B702" t="s">
        <v>448</v>
      </c>
      <c r="C702" t="s">
        <v>1398</v>
      </c>
      <c r="D702">
        <v>14408.2</v>
      </c>
      <c r="E702" s="2">
        <v>45440</v>
      </c>
      <c r="F702" s="2">
        <v>45450</v>
      </c>
      <c r="G702">
        <v>10</v>
      </c>
      <c r="H702" t="s">
        <v>1399</v>
      </c>
    </row>
    <row r="703" spans="1:8" x14ac:dyDescent="0.35">
      <c r="A703" t="s">
        <v>2101</v>
      </c>
      <c r="B703" t="s">
        <v>729</v>
      </c>
      <c r="C703" t="s">
        <v>1401</v>
      </c>
      <c r="D703">
        <v>10413.879999999999</v>
      </c>
      <c r="E703" s="2">
        <v>44862</v>
      </c>
      <c r="F703" s="2">
        <v>44862</v>
      </c>
      <c r="G703">
        <v>0</v>
      </c>
      <c r="H703" t="s">
        <v>1399</v>
      </c>
    </row>
    <row r="704" spans="1:8" x14ac:dyDescent="0.35">
      <c r="A704" t="s">
        <v>2102</v>
      </c>
      <c r="B704" t="s">
        <v>966</v>
      </c>
      <c r="C704" t="s">
        <v>1398</v>
      </c>
      <c r="E704" s="2">
        <v>45135</v>
      </c>
      <c r="F704" s="2"/>
      <c r="H704" t="s">
        <v>1416</v>
      </c>
    </row>
    <row r="705" spans="1:8" x14ac:dyDescent="0.35">
      <c r="A705" t="s">
        <v>2103</v>
      </c>
      <c r="B705" t="s">
        <v>1376</v>
      </c>
      <c r="C705" t="s">
        <v>1394</v>
      </c>
      <c r="E705" s="2">
        <v>45319</v>
      </c>
      <c r="F705" s="2"/>
      <c r="H705" t="s">
        <v>1395</v>
      </c>
    </row>
    <row r="706" spans="1:8" x14ac:dyDescent="0.35">
      <c r="A706" t="s">
        <v>2104</v>
      </c>
      <c r="B706" t="s">
        <v>753</v>
      </c>
      <c r="C706" t="s">
        <v>1398</v>
      </c>
      <c r="D706">
        <v>10634.75</v>
      </c>
      <c r="E706" s="2">
        <v>44862</v>
      </c>
      <c r="F706" s="2"/>
      <c r="H706" t="s">
        <v>1416</v>
      </c>
    </row>
    <row r="707" spans="1:8" x14ac:dyDescent="0.35">
      <c r="A707" t="s">
        <v>2105</v>
      </c>
      <c r="B707" t="s">
        <v>1095</v>
      </c>
      <c r="C707" t="s">
        <v>1401</v>
      </c>
      <c r="D707">
        <v>21260.92</v>
      </c>
      <c r="E707" s="2">
        <v>44862</v>
      </c>
      <c r="F707" s="2">
        <v>44897</v>
      </c>
      <c r="G707">
        <v>35</v>
      </c>
      <c r="H707" t="s">
        <v>1399</v>
      </c>
    </row>
    <row r="708" spans="1:8" x14ac:dyDescent="0.35">
      <c r="A708" t="s">
        <v>2106</v>
      </c>
      <c r="B708" t="s">
        <v>1032</v>
      </c>
      <c r="C708" t="s">
        <v>1401</v>
      </c>
      <c r="D708">
        <v>3764.05</v>
      </c>
      <c r="E708" s="2">
        <v>44954</v>
      </c>
      <c r="F708" s="2">
        <v>44967</v>
      </c>
      <c r="G708">
        <v>13</v>
      </c>
      <c r="H708" t="s">
        <v>1399</v>
      </c>
    </row>
    <row r="709" spans="1:8" x14ac:dyDescent="0.35">
      <c r="A709" t="s">
        <v>2107</v>
      </c>
      <c r="B709" t="s">
        <v>1313</v>
      </c>
      <c r="C709" t="s">
        <v>1401</v>
      </c>
      <c r="D709">
        <v>23737.96</v>
      </c>
      <c r="E709" s="2">
        <v>44740</v>
      </c>
      <c r="F709" s="2">
        <v>44779</v>
      </c>
      <c r="G709">
        <v>39</v>
      </c>
      <c r="H709" t="s">
        <v>1399</v>
      </c>
    </row>
    <row r="710" spans="1:8" x14ac:dyDescent="0.35">
      <c r="A710" t="s">
        <v>2108</v>
      </c>
      <c r="B710" t="s">
        <v>1227</v>
      </c>
      <c r="C710" t="s">
        <v>1394</v>
      </c>
      <c r="E710" s="2">
        <v>45197</v>
      </c>
      <c r="F710" s="2"/>
      <c r="H710" t="s">
        <v>1395</v>
      </c>
    </row>
    <row r="711" spans="1:8" x14ac:dyDescent="0.35">
      <c r="A711" t="s">
        <v>2109</v>
      </c>
      <c r="B711" t="s">
        <v>733</v>
      </c>
      <c r="C711" t="s">
        <v>1401</v>
      </c>
      <c r="D711">
        <v>24238.04</v>
      </c>
      <c r="E711" s="2">
        <v>45044</v>
      </c>
      <c r="F711" s="2">
        <v>45075</v>
      </c>
      <c r="G711">
        <v>31</v>
      </c>
      <c r="H711" t="s">
        <v>1399</v>
      </c>
    </row>
    <row r="712" spans="1:8" x14ac:dyDescent="0.35">
      <c r="A712" t="s">
        <v>2110</v>
      </c>
      <c r="B712" t="s">
        <v>1039</v>
      </c>
      <c r="C712" t="s">
        <v>1398</v>
      </c>
      <c r="D712">
        <v>904.07</v>
      </c>
      <c r="E712" s="2">
        <v>45501</v>
      </c>
      <c r="F712" s="2">
        <v>45521</v>
      </c>
      <c r="G712">
        <v>20</v>
      </c>
      <c r="H712" t="s">
        <v>1399</v>
      </c>
    </row>
    <row r="713" spans="1:8" x14ac:dyDescent="0.35">
      <c r="A713" t="s">
        <v>2111</v>
      </c>
      <c r="B713" t="s">
        <v>1062</v>
      </c>
      <c r="C713" t="s">
        <v>1394</v>
      </c>
      <c r="E713" s="2">
        <v>44709</v>
      </c>
      <c r="F713" s="2"/>
      <c r="H713" t="s">
        <v>1395</v>
      </c>
    </row>
    <row r="714" spans="1:8" x14ac:dyDescent="0.35">
      <c r="A714" t="s">
        <v>2112</v>
      </c>
      <c r="B714" t="s">
        <v>1084</v>
      </c>
      <c r="C714" t="s">
        <v>1401</v>
      </c>
      <c r="D714">
        <v>38910.31</v>
      </c>
      <c r="E714" s="2">
        <v>45013</v>
      </c>
      <c r="F714" s="2">
        <v>45095</v>
      </c>
      <c r="G714">
        <v>82</v>
      </c>
      <c r="H714" t="s">
        <v>1399</v>
      </c>
    </row>
    <row r="715" spans="1:8" x14ac:dyDescent="0.35">
      <c r="A715" t="s">
        <v>2113</v>
      </c>
      <c r="B715" t="s">
        <v>1098</v>
      </c>
      <c r="C715" t="s">
        <v>1398</v>
      </c>
      <c r="D715">
        <v>12742.09</v>
      </c>
      <c r="E715" s="2">
        <v>45624</v>
      </c>
      <c r="F715" s="2">
        <v>45626</v>
      </c>
      <c r="G715">
        <v>2</v>
      </c>
      <c r="H715" t="s">
        <v>1399</v>
      </c>
    </row>
    <row r="716" spans="1:8" x14ac:dyDescent="0.35">
      <c r="A716" t="s">
        <v>2114</v>
      </c>
      <c r="B716" t="s">
        <v>770</v>
      </c>
      <c r="C716" t="s">
        <v>1398</v>
      </c>
      <c r="D716">
        <v>18972.82</v>
      </c>
      <c r="E716" s="2">
        <v>45410</v>
      </c>
      <c r="F716" s="2">
        <v>45427</v>
      </c>
      <c r="G716">
        <v>17</v>
      </c>
      <c r="H716" t="s">
        <v>1399</v>
      </c>
    </row>
    <row r="717" spans="1:8" x14ac:dyDescent="0.35">
      <c r="A717" t="s">
        <v>2115</v>
      </c>
      <c r="B717" t="s">
        <v>891</v>
      </c>
      <c r="C717" t="s">
        <v>1394</v>
      </c>
      <c r="E717" s="2">
        <v>44648</v>
      </c>
      <c r="F717" s="2"/>
      <c r="H717" t="s">
        <v>1395</v>
      </c>
    </row>
    <row r="718" spans="1:8" x14ac:dyDescent="0.35">
      <c r="A718" t="s">
        <v>2116</v>
      </c>
      <c r="B718" t="s">
        <v>1181</v>
      </c>
      <c r="C718" t="s">
        <v>1394</v>
      </c>
      <c r="E718" s="2">
        <v>44954</v>
      </c>
      <c r="F718" s="2"/>
      <c r="H718" t="s">
        <v>1395</v>
      </c>
    </row>
    <row r="719" spans="1:8" x14ac:dyDescent="0.35">
      <c r="A719" t="s">
        <v>2117</v>
      </c>
      <c r="B719" t="s">
        <v>397</v>
      </c>
      <c r="C719" t="s">
        <v>1401</v>
      </c>
      <c r="D719">
        <v>14574.24</v>
      </c>
      <c r="E719" s="2">
        <v>45563</v>
      </c>
      <c r="F719" s="2">
        <v>45621</v>
      </c>
      <c r="G719">
        <v>58</v>
      </c>
      <c r="H719" t="s">
        <v>1399</v>
      </c>
    </row>
    <row r="720" spans="1:8" x14ac:dyDescent="0.35">
      <c r="A720" t="s">
        <v>2118</v>
      </c>
      <c r="B720" t="s">
        <v>1353</v>
      </c>
      <c r="C720" t="s">
        <v>1398</v>
      </c>
      <c r="E720" s="2">
        <v>45135</v>
      </c>
      <c r="F720" s="2">
        <v>45145</v>
      </c>
      <c r="G720">
        <v>10</v>
      </c>
      <c r="H720" t="s">
        <v>1435</v>
      </c>
    </row>
    <row r="721" spans="1:8" x14ac:dyDescent="0.35">
      <c r="A721" t="s">
        <v>2119</v>
      </c>
      <c r="B721" t="s">
        <v>445</v>
      </c>
      <c r="C721" t="s">
        <v>1398</v>
      </c>
      <c r="D721">
        <v>17157.97</v>
      </c>
      <c r="E721" s="2">
        <v>45624</v>
      </c>
      <c r="F721" s="2"/>
      <c r="H721" t="s">
        <v>1416</v>
      </c>
    </row>
    <row r="722" spans="1:8" x14ac:dyDescent="0.35">
      <c r="A722" t="s">
        <v>2120</v>
      </c>
      <c r="B722" t="s">
        <v>1082</v>
      </c>
      <c r="C722" t="s">
        <v>1398</v>
      </c>
      <c r="D722">
        <v>8091.24</v>
      </c>
      <c r="E722" s="2">
        <v>45624</v>
      </c>
      <c r="F722" s="2">
        <v>45636</v>
      </c>
      <c r="G722">
        <v>12</v>
      </c>
      <c r="H722" t="s">
        <v>1399</v>
      </c>
    </row>
    <row r="723" spans="1:8" x14ac:dyDescent="0.35">
      <c r="A723" t="s">
        <v>2121</v>
      </c>
      <c r="B723" t="s">
        <v>1230</v>
      </c>
      <c r="C723" t="s">
        <v>1394</v>
      </c>
      <c r="E723" s="2">
        <v>44679</v>
      </c>
      <c r="F723" s="2"/>
      <c r="H723" t="s">
        <v>1395</v>
      </c>
    </row>
    <row r="724" spans="1:8" x14ac:dyDescent="0.35">
      <c r="A724" t="s">
        <v>2122</v>
      </c>
      <c r="B724" t="s">
        <v>862</v>
      </c>
      <c r="C724" t="s">
        <v>1398</v>
      </c>
      <c r="D724">
        <v>12183.03</v>
      </c>
      <c r="E724" s="2">
        <v>44801</v>
      </c>
      <c r="F724" s="2">
        <v>44815</v>
      </c>
      <c r="G724">
        <v>14</v>
      </c>
      <c r="H724" t="s">
        <v>1399</v>
      </c>
    </row>
    <row r="725" spans="1:8" x14ac:dyDescent="0.35">
      <c r="A725" t="s">
        <v>2123</v>
      </c>
      <c r="B725" t="s">
        <v>630</v>
      </c>
      <c r="C725" t="s">
        <v>1398</v>
      </c>
      <c r="D725">
        <v>10068.81</v>
      </c>
      <c r="E725" s="2">
        <v>45654</v>
      </c>
      <c r="F725" s="2"/>
      <c r="H725" t="s">
        <v>1416</v>
      </c>
    </row>
    <row r="726" spans="1:8" x14ac:dyDescent="0.35">
      <c r="A726" t="s">
        <v>2124</v>
      </c>
      <c r="B726" t="s">
        <v>650</v>
      </c>
      <c r="C726" t="s">
        <v>1394</v>
      </c>
      <c r="E726" s="2">
        <v>45379</v>
      </c>
      <c r="F726" s="2"/>
      <c r="H726" t="s">
        <v>1395</v>
      </c>
    </row>
    <row r="727" spans="1:8" x14ac:dyDescent="0.35">
      <c r="A727" t="s">
        <v>2125</v>
      </c>
      <c r="B727" t="s">
        <v>790</v>
      </c>
      <c r="C727" t="s">
        <v>1398</v>
      </c>
      <c r="D727">
        <v>5514.89</v>
      </c>
      <c r="E727" s="2">
        <v>45563</v>
      </c>
      <c r="F727" s="2"/>
      <c r="H727" t="s">
        <v>1416</v>
      </c>
    </row>
    <row r="728" spans="1:8" x14ac:dyDescent="0.35">
      <c r="A728" t="s">
        <v>2126</v>
      </c>
      <c r="B728" t="s">
        <v>1306</v>
      </c>
      <c r="C728" t="s">
        <v>1401</v>
      </c>
      <c r="D728">
        <v>23094.17</v>
      </c>
      <c r="E728" s="2">
        <v>45074</v>
      </c>
      <c r="F728" s="2">
        <v>45115</v>
      </c>
      <c r="G728">
        <v>41</v>
      </c>
      <c r="H728" t="s">
        <v>1399</v>
      </c>
    </row>
    <row r="729" spans="1:8" x14ac:dyDescent="0.35">
      <c r="A729" t="s">
        <v>2127</v>
      </c>
      <c r="B729" t="s">
        <v>1282</v>
      </c>
      <c r="C729" t="s">
        <v>1394</v>
      </c>
      <c r="E729" s="2">
        <v>44620</v>
      </c>
      <c r="F729" s="2"/>
      <c r="H729" t="s">
        <v>1395</v>
      </c>
    </row>
    <row r="730" spans="1:8" x14ac:dyDescent="0.35">
      <c r="A730" t="s">
        <v>2128</v>
      </c>
      <c r="B730" t="s">
        <v>615</v>
      </c>
      <c r="C730" t="s">
        <v>1398</v>
      </c>
      <c r="D730">
        <v>3214.07</v>
      </c>
      <c r="E730" s="2">
        <v>44893</v>
      </c>
      <c r="F730" s="2">
        <v>44904</v>
      </c>
      <c r="G730">
        <v>11</v>
      </c>
      <c r="H730" t="s">
        <v>1399</v>
      </c>
    </row>
    <row r="731" spans="1:8" x14ac:dyDescent="0.35">
      <c r="A731" t="s">
        <v>2129</v>
      </c>
      <c r="B731" t="s">
        <v>944</v>
      </c>
      <c r="C731" t="s">
        <v>1398</v>
      </c>
      <c r="D731">
        <v>7203.22</v>
      </c>
      <c r="E731" s="2">
        <v>45350</v>
      </c>
      <c r="F731" s="2">
        <v>45378</v>
      </c>
      <c r="G731">
        <v>28</v>
      </c>
      <c r="H731" t="s">
        <v>1399</v>
      </c>
    </row>
    <row r="732" spans="1:8" x14ac:dyDescent="0.35">
      <c r="A732" t="s">
        <v>2130</v>
      </c>
      <c r="B732" t="s">
        <v>725</v>
      </c>
      <c r="C732" t="s">
        <v>1401</v>
      </c>
      <c r="D732">
        <v>16052.37</v>
      </c>
      <c r="E732" s="2">
        <v>45105</v>
      </c>
      <c r="F732" s="2">
        <v>45136</v>
      </c>
      <c r="G732">
        <v>31</v>
      </c>
      <c r="H732" t="s">
        <v>1399</v>
      </c>
    </row>
    <row r="733" spans="1:8" x14ac:dyDescent="0.35">
      <c r="A733" t="s">
        <v>2131</v>
      </c>
      <c r="B733" t="s">
        <v>577</v>
      </c>
      <c r="C733" t="s">
        <v>1398</v>
      </c>
      <c r="D733">
        <v>11103.9</v>
      </c>
      <c r="E733" s="2">
        <v>44985</v>
      </c>
      <c r="F733" s="2">
        <v>44991</v>
      </c>
      <c r="G733">
        <v>6</v>
      </c>
      <c r="H733" t="s">
        <v>1399</v>
      </c>
    </row>
    <row r="734" spans="1:8" x14ac:dyDescent="0.35">
      <c r="A734" t="s">
        <v>2132</v>
      </c>
      <c r="B734" t="s">
        <v>877</v>
      </c>
      <c r="C734" t="s">
        <v>1398</v>
      </c>
      <c r="D734">
        <v>13954.18</v>
      </c>
      <c r="E734" s="2">
        <v>45319</v>
      </c>
      <c r="F734" s="2">
        <v>45346</v>
      </c>
      <c r="G734">
        <v>27</v>
      </c>
      <c r="H734" t="s">
        <v>1399</v>
      </c>
    </row>
    <row r="735" spans="1:8" x14ac:dyDescent="0.35">
      <c r="A735" t="s">
        <v>2133</v>
      </c>
      <c r="B735" t="s">
        <v>1326</v>
      </c>
      <c r="C735" t="s">
        <v>1394</v>
      </c>
      <c r="E735" s="2">
        <v>45350</v>
      </c>
      <c r="F735" s="2"/>
      <c r="H735" t="s">
        <v>1395</v>
      </c>
    </row>
    <row r="736" spans="1:8" x14ac:dyDescent="0.35">
      <c r="A736" t="s">
        <v>2134</v>
      </c>
      <c r="B736" t="s">
        <v>1384</v>
      </c>
      <c r="C736" t="s">
        <v>1401</v>
      </c>
      <c r="D736">
        <v>15869.95</v>
      </c>
      <c r="E736" s="2">
        <v>45013</v>
      </c>
      <c r="F736" s="2">
        <v>45043</v>
      </c>
      <c r="G736">
        <v>30</v>
      </c>
      <c r="H736" t="s">
        <v>1399</v>
      </c>
    </row>
    <row r="737" spans="1:8" x14ac:dyDescent="0.35">
      <c r="A737" t="s">
        <v>2135</v>
      </c>
      <c r="B737" t="s">
        <v>1298</v>
      </c>
      <c r="C737" t="s">
        <v>1394</v>
      </c>
      <c r="E737" s="2">
        <v>45593</v>
      </c>
      <c r="F737" s="2"/>
      <c r="H737" t="s">
        <v>1395</v>
      </c>
    </row>
    <row r="738" spans="1:8" x14ac:dyDescent="0.35">
      <c r="A738" t="s">
        <v>2136</v>
      </c>
      <c r="B738" t="s">
        <v>1341</v>
      </c>
      <c r="C738" t="s">
        <v>1398</v>
      </c>
      <c r="D738">
        <v>13949.87</v>
      </c>
      <c r="E738" s="2">
        <v>44709</v>
      </c>
      <c r="F738" s="2">
        <v>44784</v>
      </c>
      <c r="G738">
        <v>75</v>
      </c>
      <c r="H738" t="s">
        <v>1399</v>
      </c>
    </row>
    <row r="739" spans="1:8" x14ac:dyDescent="0.35">
      <c r="A739" t="s">
        <v>2137</v>
      </c>
      <c r="B739" t="s">
        <v>442</v>
      </c>
      <c r="C739" t="s">
        <v>1398</v>
      </c>
      <c r="D739">
        <v>19263.32</v>
      </c>
      <c r="E739" s="2">
        <v>45379</v>
      </c>
      <c r="F739" s="2">
        <v>45441</v>
      </c>
      <c r="G739">
        <v>62</v>
      </c>
      <c r="H739" t="s">
        <v>1399</v>
      </c>
    </row>
    <row r="740" spans="1:8" x14ac:dyDescent="0.35">
      <c r="A740" t="s">
        <v>2138</v>
      </c>
      <c r="B740" t="s">
        <v>975</v>
      </c>
      <c r="C740" t="s">
        <v>1398</v>
      </c>
      <c r="D740">
        <v>3182.88</v>
      </c>
      <c r="E740" s="2">
        <v>45288</v>
      </c>
      <c r="F740" s="2"/>
      <c r="H740" t="s">
        <v>1416</v>
      </c>
    </row>
    <row r="741" spans="1:8" x14ac:dyDescent="0.35">
      <c r="A741" t="s">
        <v>2139</v>
      </c>
      <c r="B741" t="s">
        <v>501</v>
      </c>
      <c r="C741" t="s">
        <v>1401</v>
      </c>
      <c r="D741">
        <v>10948.34</v>
      </c>
      <c r="E741" s="2">
        <v>45471</v>
      </c>
      <c r="F741" s="2">
        <v>45477</v>
      </c>
      <c r="G741">
        <v>6</v>
      </c>
      <c r="H741" t="s">
        <v>1399</v>
      </c>
    </row>
    <row r="742" spans="1:8" x14ac:dyDescent="0.35">
      <c r="A742" t="s">
        <v>2140</v>
      </c>
      <c r="B742" t="s">
        <v>1123</v>
      </c>
      <c r="C742" t="s">
        <v>1401</v>
      </c>
      <c r="D742">
        <v>23336.82</v>
      </c>
      <c r="E742" s="2">
        <v>44923</v>
      </c>
      <c r="F742" s="2">
        <v>44985</v>
      </c>
      <c r="G742">
        <v>62</v>
      </c>
      <c r="H742" t="s">
        <v>1399</v>
      </c>
    </row>
    <row r="743" spans="1:8" x14ac:dyDescent="0.35">
      <c r="A743" t="s">
        <v>2141</v>
      </c>
      <c r="B743" t="s">
        <v>634</v>
      </c>
      <c r="C743" t="s">
        <v>1401</v>
      </c>
      <c r="D743">
        <v>529.36</v>
      </c>
      <c r="E743" s="2">
        <v>45501</v>
      </c>
      <c r="F743" s="2">
        <v>45515</v>
      </c>
      <c r="G743">
        <v>14</v>
      </c>
      <c r="H743" t="s">
        <v>1399</v>
      </c>
    </row>
    <row r="744" spans="1:8" x14ac:dyDescent="0.35">
      <c r="A744" t="s">
        <v>2142</v>
      </c>
      <c r="B744" t="s">
        <v>1381</v>
      </c>
      <c r="C744" t="s">
        <v>1401</v>
      </c>
      <c r="D744">
        <v>15661.51</v>
      </c>
      <c r="E744" s="2">
        <v>45135</v>
      </c>
      <c r="F744" s="2">
        <v>45146</v>
      </c>
      <c r="G744">
        <v>11</v>
      </c>
      <c r="H744" t="s">
        <v>1399</v>
      </c>
    </row>
    <row r="745" spans="1:8" x14ac:dyDescent="0.35">
      <c r="A745" t="s">
        <v>2143</v>
      </c>
      <c r="B745" t="s">
        <v>1150</v>
      </c>
      <c r="C745" t="s">
        <v>1398</v>
      </c>
      <c r="E745" s="2">
        <v>45654</v>
      </c>
      <c r="F745" s="2">
        <v>45686</v>
      </c>
      <c r="G745">
        <v>32</v>
      </c>
      <c r="H745" t="s">
        <v>1435</v>
      </c>
    </row>
    <row r="746" spans="1:8" x14ac:dyDescent="0.35">
      <c r="A746" t="s">
        <v>2144</v>
      </c>
      <c r="B746" t="s">
        <v>677</v>
      </c>
      <c r="C746" t="s">
        <v>1398</v>
      </c>
      <c r="D746">
        <v>16076.37</v>
      </c>
      <c r="E746" s="2">
        <v>45013</v>
      </c>
      <c r="F746" s="2"/>
      <c r="H746" t="s">
        <v>1416</v>
      </c>
    </row>
    <row r="747" spans="1:8" x14ac:dyDescent="0.35">
      <c r="A747" t="s">
        <v>2145</v>
      </c>
      <c r="B747" t="s">
        <v>1229</v>
      </c>
      <c r="C747" t="s">
        <v>1394</v>
      </c>
      <c r="E747" s="2">
        <v>45471</v>
      </c>
      <c r="F747" s="2"/>
      <c r="H747" t="s">
        <v>1395</v>
      </c>
    </row>
    <row r="748" spans="1:8" x14ac:dyDescent="0.35">
      <c r="A748" t="s">
        <v>2146</v>
      </c>
      <c r="B748" t="s">
        <v>541</v>
      </c>
      <c r="C748" t="s">
        <v>1398</v>
      </c>
      <c r="D748">
        <v>4325.2</v>
      </c>
      <c r="E748" s="2">
        <v>45532</v>
      </c>
      <c r="F748" s="2"/>
      <c r="H748" t="s">
        <v>1416</v>
      </c>
    </row>
    <row r="749" spans="1:8" x14ac:dyDescent="0.35">
      <c r="A749" t="s">
        <v>2147</v>
      </c>
      <c r="B749" t="s">
        <v>1128</v>
      </c>
      <c r="C749" t="s">
        <v>1398</v>
      </c>
      <c r="D749">
        <v>7112.73</v>
      </c>
      <c r="E749" s="2">
        <v>44679</v>
      </c>
      <c r="F749" s="2">
        <v>44691</v>
      </c>
      <c r="G749">
        <v>12</v>
      </c>
      <c r="H749" t="s">
        <v>1399</v>
      </c>
    </row>
    <row r="750" spans="1:8" x14ac:dyDescent="0.35">
      <c r="A750" t="s">
        <v>2148</v>
      </c>
      <c r="B750" t="s">
        <v>678</v>
      </c>
      <c r="C750" t="s">
        <v>1394</v>
      </c>
      <c r="E750" s="2">
        <v>44985</v>
      </c>
      <c r="F750" s="2"/>
      <c r="H750" t="s">
        <v>1395</v>
      </c>
    </row>
    <row r="751" spans="1:8" x14ac:dyDescent="0.35">
      <c r="A751" t="s">
        <v>2149</v>
      </c>
      <c r="B751" t="s">
        <v>1158</v>
      </c>
      <c r="C751" t="s">
        <v>1401</v>
      </c>
      <c r="D751">
        <v>13034.56</v>
      </c>
      <c r="E751" s="2">
        <v>45593</v>
      </c>
      <c r="F751" s="2">
        <v>45609</v>
      </c>
      <c r="G751">
        <v>16</v>
      </c>
      <c r="H751" t="s">
        <v>1399</v>
      </c>
    </row>
    <row r="752" spans="1:8" x14ac:dyDescent="0.35">
      <c r="A752" t="s">
        <v>2150</v>
      </c>
      <c r="B752" t="s">
        <v>750</v>
      </c>
      <c r="C752" t="s">
        <v>1401</v>
      </c>
      <c r="D752">
        <v>9853.31</v>
      </c>
      <c r="E752" s="2">
        <v>45074</v>
      </c>
      <c r="F752" s="2">
        <v>45076</v>
      </c>
      <c r="G752">
        <v>2</v>
      </c>
      <c r="H752" t="s">
        <v>1399</v>
      </c>
    </row>
    <row r="753" spans="1:8" x14ac:dyDescent="0.35">
      <c r="A753" t="s">
        <v>2151</v>
      </c>
      <c r="B753" t="s">
        <v>376</v>
      </c>
      <c r="C753" t="s">
        <v>1398</v>
      </c>
      <c r="D753">
        <v>5592.02</v>
      </c>
      <c r="E753" s="2">
        <v>45197</v>
      </c>
      <c r="F753" s="2">
        <v>45226</v>
      </c>
      <c r="G753">
        <v>29</v>
      </c>
      <c r="H753" t="s">
        <v>1399</v>
      </c>
    </row>
    <row r="754" spans="1:8" x14ac:dyDescent="0.35">
      <c r="A754" t="s">
        <v>2152</v>
      </c>
      <c r="B754" t="s">
        <v>766</v>
      </c>
      <c r="C754" t="s">
        <v>1401</v>
      </c>
      <c r="D754">
        <v>33485.74</v>
      </c>
      <c r="E754" s="2">
        <v>45013</v>
      </c>
      <c r="F754" s="2">
        <v>45048</v>
      </c>
      <c r="G754">
        <v>35</v>
      </c>
      <c r="H754" t="s">
        <v>1399</v>
      </c>
    </row>
    <row r="755" spans="1:8" x14ac:dyDescent="0.35">
      <c r="A755" t="s">
        <v>2153</v>
      </c>
      <c r="B755" t="s">
        <v>618</v>
      </c>
      <c r="C755" t="s">
        <v>1394</v>
      </c>
      <c r="E755" s="2">
        <v>44589</v>
      </c>
      <c r="F755" s="2"/>
      <c r="H755" t="s">
        <v>1395</v>
      </c>
    </row>
    <row r="756" spans="1:8" x14ac:dyDescent="0.35">
      <c r="A756" t="s">
        <v>2154</v>
      </c>
      <c r="B756" t="s">
        <v>502</v>
      </c>
      <c r="C756" t="s">
        <v>1394</v>
      </c>
      <c r="E756" s="2">
        <v>45044</v>
      </c>
      <c r="F756" s="2"/>
      <c r="H756" t="s">
        <v>1395</v>
      </c>
    </row>
    <row r="757" spans="1:8" x14ac:dyDescent="0.35">
      <c r="A757" t="s">
        <v>2155</v>
      </c>
      <c r="B757" t="s">
        <v>1065</v>
      </c>
      <c r="C757" t="s">
        <v>1398</v>
      </c>
      <c r="D757">
        <v>464.06</v>
      </c>
      <c r="E757" s="2">
        <v>45593</v>
      </c>
      <c r="F757" s="2">
        <v>45600</v>
      </c>
      <c r="G757">
        <v>7</v>
      </c>
      <c r="H757" t="s">
        <v>1399</v>
      </c>
    </row>
    <row r="758" spans="1:8" x14ac:dyDescent="0.35">
      <c r="A758" t="s">
        <v>2156</v>
      </c>
      <c r="B758" t="s">
        <v>819</v>
      </c>
      <c r="C758" t="s">
        <v>1398</v>
      </c>
      <c r="D758">
        <v>14466.74</v>
      </c>
      <c r="E758" s="2">
        <v>45501</v>
      </c>
      <c r="F758" s="2">
        <v>45557</v>
      </c>
      <c r="G758">
        <v>56</v>
      </c>
      <c r="H758" t="s">
        <v>1399</v>
      </c>
    </row>
    <row r="759" spans="1:8" x14ac:dyDescent="0.35">
      <c r="A759" t="s">
        <v>2157</v>
      </c>
      <c r="B759" t="s">
        <v>922</v>
      </c>
      <c r="C759" t="s">
        <v>1401</v>
      </c>
      <c r="D759">
        <v>25993.73</v>
      </c>
      <c r="E759" s="2">
        <v>45105</v>
      </c>
      <c r="F759" s="2">
        <v>45154</v>
      </c>
      <c r="G759">
        <v>49</v>
      </c>
      <c r="H759" t="s">
        <v>1399</v>
      </c>
    </row>
    <row r="760" spans="1:8" x14ac:dyDescent="0.35">
      <c r="A760" t="s">
        <v>2158</v>
      </c>
      <c r="B760" t="s">
        <v>809</v>
      </c>
      <c r="C760" t="s">
        <v>1398</v>
      </c>
      <c r="D760">
        <v>742.4</v>
      </c>
      <c r="E760" s="2">
        <v>45350</v>
      </c>
      <c r="F760" s="2">
        <v>45379</v>
      </c>
      <c r="G760">
        <v>29</v>
      </c>
      <c r="H760" t="s">
        <v>1399</v>
      </c>
    </row>
    <row r="761" spans="1:8" x14ac:dyDescent="0.35">
      <c r="A761" t="s">
        <v>2159</v>
      </c>
      <c r="B761" t="s">
        <v>1232</v>
      </c>
      <c r="C761" t="s">
        <v>1401</v>
      </c>
      <c r="D761">
        <v>25932.86</v>
      </c>
      <c r="E761" s="2">
        <v>44770</v>
      </c>
      <c r="F761" s="2">
        <v>44780</v>
      </c>
      <c r="G761">
        <v>10</v>
      </c>
      <c r="H761" t="s">
        <v>1399</v>
      </c>
    </row>
    <row r="762" spans="1:8" x14ac:dyDescent="0.35">
      <c r="A762" t="s">
        <v>2160</v>
      </c>
      <c r="B762" t="s">
        <v>1086</v>
      </c>
      <c r="C762" t="s">
        <v>1401</v>
      </c>
      <c r="D762">
        <v>25488.66</v>
      </c>
      <c r="E762" s="2">
        <v>45440</v>
      </c>
      <c r="F762" s="2">
        <v>45502</v>
      </c>
      <c r="G762">
        <v>62</v>
      </c>
      <c r="H762" t="s">
        <v>1399</v>
      </c>
    </row>
    <row r="763" spans="1:8" x14ac:dyDescent="0.35">
      <c r="A763" t="s">
        <v>2161</v>
      </c>
      <c r="B763" t="s">
        <v>874</v>
      </c>
      <c r="C763" t="s">
        <v>1401</v>
      </c>
      <c r="D763">
        <v>27851.48</v>
      </c>
      <c r="E763" s="2">
        <v>44709</v>
      </c>
      <c r="F763" s="2">
        <v>44729</v>
      </c>
      <c r="G763">
        <v>20</v>
      </c>
      <c r="H763" t="s">
        <v>1399</v>
      </c>
    </row>
    <row r="764" spans="1:8" x14ac:dyDescent="0.35">
      <c r="A764" t="s">
        <v>2162</v>
      </c>
      <c r="B764" t="s">
        <v>811</v>
      </c>
      <c r="C764" t="s">
        <v>1398</v>
      </c>
      <c r="E764" s="2">
        <v>44648</v>
      </c>
      <c r="F764" s="2">
        <v>44648</v>
      </c>
      <c r="G764">
        <v>0</v>
      </c>
      <c r="H764" t="s">
        <v>1435</v>
      </c>
    </row>
    <row r="765" spans="1:8" x14ac:dyDescent="0.35">
      <c r="A765" t="s">
        <v>2163</v>
      </c>
      <c r="B765" t="s">
        <v>399</v>
      </c>
      <c r="C765" t="s">
        <v>1398</v>
      </c>
      <c r="D765">
        <v>13511.35</v>
      </c>
      <c r="E765" s="2">
        <v>45044</v>
      </c>
      <c r="F765" s="2">
        <v>45048</v>
      </c>
      <c r="G765">
        <v>4</v>
      </c>
      <c r="H765" t="s">
        <v>1399</v>
      </c>
    </row>
    <row r="766" spans="1:8" x14ac:dyDescent="0.35">
      <c r="A766" t="s">
        <v>2164</v>
      </c>
      <c r="B766" t="s">
        <v>958</v>
      </c>
      <c r="C766" t="s">
        <v>1394</v>
      </c>
      <c r="E766" s="2">
        <v>45471</v>
      </c>
      <c r="F766" s="2"/>
      <c r="H766" t="s">
        <v>1395</v>
      </c>
    </row>
    <row r="767" spans="1:8" x14ac:dyDescent="0.35">
      <c r="A767" t="s">
        <v>2165</v>
      </c>
      <c r="B767" t="s">
        <v>1033</v>
      </c>
      <c r="C767" t="s">
        <v>1401</v>
      </c>
      <c r="D767">
        <v>14527.25</v>
      </c>
      <c r="E767" s="2">
        <v>44862</v>
      </c>
      <c r="F767" s="2">
        <v>44904</v>
      </c>
      <c r="G767">
        <v>42</v>
      </c>
      <c r="H767" t="s">
        <v>1399</v>
      </c>
    </row>
    <row r="768" spans="1:8" x14ac:dyDescent="0.35">
      <c r="A768" t="s">
        <v>2166</v>
      </c>
      <c r="B768" t="s">
        <v>1129</v>
      </c>
      <c r="C768" t="s">
        <v>1398</v>
      </c>
      <c r="D768">
        <v>7479.63</v>
      </c>
      <c r="E768" s="2">
        <v>45501</v>
      </c>
      <c r="F768" s="2">
        <v>45510</v>
      </c>
      <c r="G768">
        <v>9</v>
      </c>
      <c r="H768" t="s">
        <v>1399</v>
      </c>
    </row>
    <row r="769" spans="1:8" x14ac:dyDescent="0.35">
      <c r="A769" t="s">
        <v>2167</v>
      </c>
      <c r="B769" t="s">
        <v>1199</v>
      </c>
      <c r="C769" t="s">
        <v>1401</v>
      </c>
      <c r="D769">
        <v>5631.51</v>
      </c>
      <c r="E769" s="2">
        <v>44589</v>
      </c>
      <c r="F769" s="2">
        <v>44595</v>
      </c>
      <c r="G769">
        <v>6</v>
      </c>
      <c r="H769" t="s">
        <v>1399</v>
      </c>
    </row>
    <row r="770" spans="1:8" x14ac:dyDescent="0.35">
      <c r="A770" t="s">
        <v>2168</v>
      </c>
      <c r="B770" t="s">
        <v>1139</v>
      </c>
      <c r="C770" t="s">
        <v>1401</v>
      </c>
      <c r="D770">
        <v>19379.599999999999</v>
      </c>
      <c r="E770" s="2">
        <v>44770</v>
      </c>
      <c r="F770" s="2">
        <v>44785</v>
      </c>
      <c r="G770">
        <v>15</v>
      </c>
      <c r="H770" t="s">
        <v>1399</v>
      </c>
    </row>
    <row r="771" spans="1:8" x14ac:dyDescent="0.35">
      <c r="A771" t="s">
        <v>2169</v>
      </c>
      <c r="B771" t="s">
        <v>1160</v>
      </c>
      <c r="C771" t="s">
        <v>1398</v>
      </c>
      <c r="D771">
        <v>9062.25</v>
      </c>
      <c r="E771" s="2">
        <v>45440</v>
      </c>
      <c r="F771" s="2"/>
      <c r="H771" t="s">
        <v>1416</v>
      </c>
    </row>
    <row r="772" spans="1:8" x14ac:dyDescent="0.35">
      <c r="A772" t="s">
        <v>2170</v>
      </c>
      <c r="B772" t="s">
        <v>1035</v>
      </c>
      <c r="C772" t="s">
        <v>1398</v>
      </c>
      <c r="D772">
        <v>5729.57</v>
      </c>
      <c r="E772" s="2">
        <v>44862</v>
      </c>
      <c r="F772" s="2">
        <v>44864</v>
      </c>
      <c r="G772">
        <v>2</v>
      </c>
      <c r="H772" t="s">
        <v>1399</v>
      </c>
    </row>
    <row r="773" spans="1:8" x14ac:dyDescent="0.35">
      <c r="A773" t="s">
        <v>2171</v>
      </c>
      <c r="B773" t="s">
        <v>1019</v>
      </c>
      <c r="C773" t="s">
        <v>1394</v>
      </c>
      <c r="E773" s="2">
        <v>44740</v>
      </c>
      <c r="F773" s="2"/>
      <c r="H773" t="s">
        <v>1395</v>
      </c>
    </row>
    <row r="774" spans="1:8" x14ac:dyDescent="0.35">
      <c r="A774" t="s">
        <v>2172</v>
      </c>
      <c r="B774" t="s">
        <v>974</v>
      </c>
      <c r="C774" t="s">
        <v>1394</v>
      </c>
      <c r="E774" s="2">
        <v>44862</v>
      </c>
      <c r="F774" s="2"/>
      <c r="H774" t="s">
        <v>1395</v>
      </c>
    </row>
    <row r="775" spans="1:8" x14ac:dyDescent="0.35">
      <c r="A775" t="s">
        <v>2173</v>
      </c>
      <c r="B775" t="s">
        <v>956</v>
      </c>
      <c r="C775" t="s">
        <v>1398</v>
      </c>
      <c r="D775">
        <v>13953.69</v>
      </c>
      <c r="E775" s="2">
        <v>44679</v>
      </c>
      <c r="F775" s="2">
        <v>44683</v>
      </c>
      <c r="G775">
        <v>4</v>
      </c>
      <c r="H775" t="s">
        <v>1399</v>
      </c>
    </row>
    <row r="776" spans="1:8" x14ac:dyDescent="0.35">
      <c r="A776" t="s">
        <v>2174</v>
      </c>
      <c r="B776" t="s">
        <v>717</v>
      </c>
      <c r="C776" t="s">
        <v>1394</v>
      </c>
      <c r="E776" s="2">
        <v>45258</v>
      </c>
      <c r="F776" s="2"/>
      <c r="H776" t="s">
        <v>1395</v>
      </c>
    </row>
    <row r="777" spans="1:8" x14ac:dyDescent="0.35">
      <c r="A777" t="s">
        <v>2175</v>
      </c>
      <c r="B777" t="s">
        <v>782</v>
      </c>
      <c r="C777" t="s">
        <v>1401</v>
      </c>
      <c r="D777">
        <v>24180.07</v>
      </c>
      <c r="E777" s="2">
        <v>45197</v>
      </c>
      <c r="F777" s="2">
        <v>45238</v>
      </c>
      <c r="G777">
        <v>41</v>
      </c>
      <c r="H777" t="s">
        <v>1399</v>
      </c>
    </row>
    <row r="778" spans="1:8" x14ac:dyDescent="0.35">
      <c r="A778" t="s">
        <v>2176</v>
      </c>
      <c r="B778" t="s">
        <v>522</v>
      </c>
      <c r="C778" t="s">
        <v>1401</v>
      </c>
      <c r="D778">
        <v>30935.31</v>
      </c>
      <c r="E778" s="2">
        <v>44862</v>
      </c>
      <c r="F778" s="2">
        <v>44877</v>
      </c>
      <c r="G778">
        <v>15</v>
      </c>
      <c r="H778" t="s">
        <v>1399</v>
      </c>
    </row>
    <row r="779" spans="1:8" x14ac:dyDescent="0.35">
      <c r="A779" t="s">
        <v>2177</v>
      </c>
      <c r="B779" t="s">
        <v>653</v>
      </c>
      <c r="C779" t="s">
        <v>1398</v>
      </c>
      <c r="D779">
        <v>6916.02</v>
      </c>
      <c r="E779" s="2">
        <v>45166</v>
      </c>
      <c r="F779" s="2">
        <v>45181</v>
      </c>
      <c r="G779">
        <v>15</v>
      </c>
      <c r="H779" t="s">
        <v>1399</v>
      </c>
    </row>
    <row r="780" spans="1:8" x14ac:dyDescent="0.35">
      <c r="A780" t="s">
        <v>2178</v>
      </c>
      <c r="B780" t="s">
        <v>588</v>
      </c>
      <c r="C780" t="s">
        <v>1401</v>
      </c>
      <c r="D780">
        <v>9726.98</v>
      </c>
      <c r="E780" s="2">
        <v>45624</v>
      </c>
      <c r="F780" s="2">
        <v>45632</v>
      </c>
      <c r="G780">
        <v>8</v>
      </c>
      <c r="H780" t="s">
        <v>1399</v>
      </c>
    </row>
    <row r="781" spans="1:8" x14ac:dyDescent="0.35">
      <c r="A781" t="s">
        <v>2179</v>
      </c>
      <c r="B781" t="s">
        <v>701</v>
      </c>
      <c r="C781" t="s">
        <v>1401</v>
      </c>
      <c r="D781">
        <v>22692.98</v>
      </c>
      <c r="E781" s="2">
        <v>44954</v>
      </c>
      <c r="F781" s="2">
        <v>45042</v>
      </c>
      <c r="G781">
        <v>88</v>
      </c>
      <c r="H781" t="s">
        <v>1399</v>
      </c>
    </row>
    <row r="782" spans="1:8" x14ac:dyDescent="0.35">
      <c r="A782" t="s">
        <v>2180</v>
      </c>
      <c r="B782" t="s">
        <v>1330</v>
      </c>
      <c r="C782" t="s">
        <v>1394</v>
      </c>
      <c r="E782" s="2">
        <v>44770</v>
      </c>
      <c r="F782" s="2"/>
      <c r="H782" t="s">
        <v>1395</v>
      </c>
    </row>
    <row r="783" spans="1:8" x14ac:dyDescent="0.35">
      <c r="A783" t="s">
        <v>2181</v>
      </c>
      <c r="B783" t="s">
        <v>1261</v>
      </c>
      <c r="C783" t="s">
        <v>1398</v>
      </c>
      <c r="D783">
        <v>6138.52</v>
      </c>
      <c r="E783" s="2">
        <v>45044</v>
      </c>
      <c r="F783" s="2">
        <v>45053</v>
      </c>
      <c r="G783">
        <v>9</v>
      </c>
      <c r="H783" t="s">
        <v>1399</v>
      </c>
    </row>
    <row r="784" spans="1:8" x14ac:dyDescent="0.35">
      <c r="A784" t="s">
        <v>2182</v>
      </c>
      <c r="B784" t="s">
        <v>825</v>
      </c>
      <c r="C784" t="s">
        <v>1394</v>
      </c>
      <c r="E784" s="2">
        <v>44985</v>
      </c>
      <c r="F784" s="2"/>
      <c r="H784" t="s">
        <v>1395</v>
      </c>
    </row>
    <row r="785" spans="1:8" x14ac:dyDescent="0.35">
      <c r="A785" t="s">
        <v>2183</v>
      </c>
      <c r="B785" t="s">
        <v>879</v>
      </c>
      <c r="C785" t="s">
        <v>1398</v>
      </c>
      <c r="D785">
        <v>14672.08</v>
      </c>
      <c r="E785" s="2">
        <v>45197</v>
      </c>
      <c r="F785" s="2"/>
      <c r="H785" t="s">
        <v>1416</v>
      </c>
    </row>
    <row r="786" spans="1:8" x14ac:dyDescent="0.35">
      <c r="A786" t="s">
        <v>2184</v>
      </c>
      <c r="B786" t="s">
        <v>720</v>
      </c>
      <c r="C786" t="s">
        <v>1401</v>
      </c>
      <c r="D786">
        <v>14484.82</v>
      </c>
      <c r="E786" s="2">
        <v>44589</v>
      </c>
      <c r="F786" s="2">
        <v>44595</v>
      </c>
      <c r="G786">
        <v>6</v>
      </c>
      <c r="H786" t="s">
        <v>1399</v>
      </c>
    </row>
    <row r="787" spans="1:8" x14ac:dyDescent="0.35">
      <c r="A787" t="s">
        <v>2185</v>
      </c>
      <c r="B787" t="s">
        <v>1143</v>
      </c>
      <c r="C787" t="s">
        <v>1398</v>
      </c>
      <c r="D787">
        <v>11056.61</v>
      </c>
      <c r="E787" s="2">
        <v>45135</v>
      </c>
      <c r="F787" s="2">
        <v>45146</v>
      </c>
      <c r="G787">
        <v>11</v>
      </c>
      <c r="H787" t="s">
        <v>1399</v>
      </c>
    </row>
    <row r="788" spans="1:8" x14ac:dyDescent="0.35">
      <c r="A788" t="s">
        <v>2186</v>
      </c>
      <c r="B788" t="s">
        <v>1166</v>
      </c>
      <c r="C788" t="s">
        <v>1401</v>
      </c>
      <c r="D788">
        <v>20705.34</v>
      </c>
      <c r="E788" s="2">
        <v>45074</v>
      </c>
      <c r="F788" s="2">
        <v>45077</v>
      </c>
      <c r="G788">
        <v>3</v>
      </c>
      <c r="H788" t="s">
        <v>1399</v>
      </c>
    </row>
    <row r="789" spans="1:8" x14ac:dyDescent="0.35">
      <c r="A789" t="s">
        <v>2187</v>
      </c>
      <c r="B789" t="s">
        <v>664</v>
      </c>
      <c r="C789" t="s">
        <v>1401</v>
      </c>
      <c r="D789">
        <v>25597.03</v>
      </c>
      <c r="E789" s="2">
        <v>45501</v>
      </c>
      <c r="F789" s="2">
        <v>45516</v>
      </c>
      <c r="G789">
        <v>15</v>
      </c>
      <c r="H789" t="s">
        <v>1399</v>
      </c>
    </row>
    <row r="790" spans="1:8" x14ac:dyDescent="0.35">
      <c r="A790" t="s">
        <v>2188</v>
      </c>
      <c r="B790" t="s">
        <v>1254</v>
      </c>
      <c r="C790" t="s">
        <v>1394</v>
      </c>
      <c r="E790" s="2">
        <v>44862</v>
      </c>
      <c r="F790" s="2"/>
      <c r="H790" t="s">
        <v>1395</v>
      </c>
    </row>
    <row r="791" spans="1:8" x14ac:dyDescent="0.35">
      <c r="A791" t="s">
        <v>2189</v>
      </c>
      <c r="B791" t="s">
        <v>1131</v>
      </c>
      <c r="C791" t="s">
        <v>1398</v>
      </c>
      <c r="D791">
        <v>3002.48</v>
      </c>
      <c r="E791" s="2">
        <v>45440</v>
      </c>
      <c r="F791" s="2">
        <v>45443</v>
      </c>
      <c r="G791">
        <v>3</v>
      </c>
      <c r="H791" t="s">
        <v>1399</v>
      </c>
    </row>
    <row r="792" spans="1:8" x14ac:dyDescent="0.35">
      <c r="A792" t="s">
        <v>2190</v>
      </c>
      <c r="B792" t="s">
        <v>787</v>
      </c>
      <c r="C792" t="s">
        <v>1394</v>
      </c>
      <c r="E792" s="2">
        <v>44832</v>
      </c>
      <c r="F792" s="2"/>
      <c r="H792" t="s">
        <v>1395</v>
      </c>
    </row>
    <row r="793" spans="1:8" x14ac:dyDescent="0.35">
      <c r="A793" t="s">
        <v>2191</v>
      </c>
      <c r="B793" t="s">
        <v>942</v>
      </c>
      <c r="C793" t="s">
        <v>1394</v>
      </c>
      <c r="E793" s="2">
        <v>45227</v>
      </c>
      <c r="F793" s="2"/>
      <c r="H793" t="s">
        <v>1395</v>
      </c>
    </row>
    <row r="794" spans="1:8" x14ac:dyDescent="0.35">
      <c r="A794" t="s">
        <v>2192</v>
      </c>
      <c r="B794" t="s">
        <v>1287</v>
      </c>
      <c r="C794" t="s">
        <v>1394</v>
      </c>
      <c r="E794" s="2">
        <v>44985</v>
      </c>
      <c r="F794" s="2"/>
      <c r="H794" t="s">
        <v>1395</v>
      </c>
    </row>
    <row r="795" spans="1:8" x14ac:dyDescent="0.35">
      <c r="A795" t="s">
        <v>2193</v>
      </c>
      <c r="B795" t="s">
        <v>1132</v>
      </c>
      <c r="C795" t="s">
        <v>1398</v>
      </c>
      <c r="D795">
        <v>2240.52</v>
      </c>
      <c r="E795" s="2">
        <v>44620</v>
      </c>
      <c r="F795" s="2"/>
      <c r="H795" t="s">
        <v>1416</v>
      </c>
    </row>
    <row r="796" spans="1:8" x14ac:dyDescent="0.35">
      <c r="A796" t="s">
        <v>2194</v>
      </c>
      <c r="B796" t="s">
        <v>1015</v>
      </c>
      <c r="C796" t="s">
        <v>1398</v>
      </c>
      <c r="E796" s="2">
        <v>45013</v>
      </c>
      <c r="F796" s="2"/>
      <c r="H796" t="s">
        <v>1416</v>
      </c>
    </row>
    <row r="797" spans="1:8" x14ac:dyDescent="0.35">
      <c r="A797" t="s">
        <v>2195</v>
      </c>
      <c r="B797" t="s">
        <v>1221</v>
      </c>
      <c r="C797" t="s">
        <v>1394</v>
      </c>
      <c r="E797" s="2">
        <v>45319</v>
      </c>
      <c r="F797" s="2"/>
      <c r="H797" t="s">
        <v>1395</v>
      </c>
    </row>
    <row r="798" spans="1:8" x14ac:dyDescent="0.35">
      <c r="A798" t="s">
        <v>2196</v>
      </c>
      <c r="B798" t="s">
        <v>663</v>
      </c>
      <c r="C798" t="s">
        <v>1394</v>
      </c>
      <c r="E798" s="2">
        <v>45593</v>
      </c>
      <c r="F798" s="2"/>
      <c r="H798" t="s">
        <v>1395</v>
      </c>
    </row>
    <row r="799" spans="1:8" x14ac:dyDescent="0.35">
      <c r="A799" t="s">
        <v>2197</v>
      </c>
      <c r="B799" t="s">
        <v>950</v>
      </c>
      <c r="C799" t="s">
        <v>1401</v>
      </c>
      <c r="D799">
        <v>38179.120000000003</v>
      </c>
      <c r="E799" s="2">
        <v>44679</v>
      </c>
      <c r="F799" s="2">
        <v>44699</v>
      </c>
      <c r="G799">
        <v>20</v>
      </c>
      <c r="H799" t="s">
        <v>1399</v>
      </c>
    </row>
    <row r="800" spans="1:8" x14ac:dyDescent="0.35">
      <c r="A800" t="s">
        <v>2198</v>
      </c>
      <c r="B800" t="s">
        <v>531</v>
      </c>
      <c r="C800" t="s">
        <v>1394</v>
      </c>
      <c r="E800" s="2">
        <v>45624</v>
      </c>
      <c r="F800" s="2"/>
      <c r="H800" t="s">
        <v>1395</v>
      </c>
    </row>
    <row r="801" spans="1:8" x14ac:dyDescent="0.35">
      <c r="A801" t="s">
        <v>2199</v>
      </c>
      <c r="B801" t="s">
        <v>887</v>
      </c>
      <c r="C801" t="s">
        <v>1398</v>
      </c>
      <c r="D801">
        <v>1094.93</v>
      </c>
      <c r="E801" s="2">
        <v>44862</v>
      </c>
      <c r="F801" s="2">
        <v>44872</v>
      </c>
      <c r="G801">
        <v>10</v>
      </c>
      <c r="H801" t="s">
        <v>1399</v>
      </c>
    </row>
    <row r="802" spans="1:8" x14ac:dyDescent="0.35">
      <c r="A802" t="s">
        <v>2200</v>
      </c>
      <c r="B802" t="s">
        <v>817</v>
      </c>
      <c r="C802" t="s">
        <v>1401</v>
      </c>
      <c r="D802">
        <v>10618.58</v>
      </c>
      <c r="E802" s="2">
        <v>44709</v>
      </c>
      <c r="F802" s="2">
        <v>44723</v>
      </c>
      <c r="G802">
        <v>14</v>
      </c>
      <c r="H802" t="s">
        <v>1399</v>
      </c>
    </row>
    <row r="803" spans="1:8" x14ac:dyDescent="0.35">
      <c r="A803" t="s">
        <v>2201</v>
      </c>
      <c r="B803" t="s">
        <v>1265</v>
      </c>
      <c r="C803" t="s">
        <v>1401</v>
      </c>
      <c r="D803">
        <v>15329.17</v>
      </c>
      <c r="E803" s="2">
        <v>45563</v>
      </c>
      <c r="F803" s="2">
        <v>45621</v>
      </c>
      <c r="G803">
        <v>58</v>
      </c>
      <c r="H803" t="s">
        <v>1399</v>
      </c>
    </row>
    <row r="804" spans="1:8" x14ac:dyDescent="0.35">
      <c r="A804" t="s">
        <v>2202</v>
      </c>
      <c r="B804" t="s">
        <v>1318</v>
      </c>
      <c r="C804" t="s">
        <v>1394</v>
      </c>
      <c r="E804" s="2">
        <v>44589</v>
      </c>
      <c r="F804" s="2"/>
      <c r="H804" t="s">
        <v>1395</v>
      </c>
    </row>
    <row r="805" spans="1:8" x14ac:dyDescent="0.35">
      <c r="A805" t="s">
        <v>2203</v>
      </c>
      <c r="B805" t="s">
        <v>973</v>
      </c>
      <c r="C805" t="s">
        <v>1394</v>
      </c>
      <c r="E805" s="2">
        <v>44620</v>
      </c>
      <c r="F805" s="2"/>
      <c r="H805" t="s">
        <v>1395</v>
      </c>
    </row>
    <row r="806" spans="1:8" x14ac:dyDescent="0.35">
      <c r="A806" t="s">
        <v>2204</v>
      </c>
      <c r="B806" t="s">
        <v>637</v>
      </c>
      <c r="C806" t="s">
        <v>1398</v>
      </c>
      <c r="D806">
        <v>3108.86</v>
      </c>
      <c r="E806" s="2">
        <v>44985</v>
      </c>
      <c r="F806" s="2">
        <v>45044</v>
      </c>
      <c r="G806">
        <v>59</v>
      </c>
      <c r="H806" t="s">
        <v>1399</v>
      </c>
    </row>
    <row r="807" spans="1:8" x14ac:dyDescent="0.35">
      <c r="A807" t="s">
        <v>2205</v>
      </c>
      <c r="B807" t="s">
        <v>439</v>
      </c>
      <c r="C807" t="s">
        <v>1394</v>
      </c>
      <c r="E807" s="2">
        <v>44954</v>
      </c>
      <c r="F807" s="2"/>
      <c r="H807" t="s">
        <v>1395</v>
      </c>
    </row>
    <row r="808" spans="1:8" x14ac:dyDescent="0.35">
      <c r="A808" t="s">
        <v>2206</v>
      </c>
      <c r="B808" t="s">
        <v>910</v>
      </c>
      <c r="C808" t="s">
        <v>1394</v>
      </c>
      <c r="E808" s="2">
        <v>45258</v>
      </c>
      <c r="F808" s="2"/>
      <c r="H808" t="s">
        <v>1395</v>
      </c>
    </row>
    <row r="809" spans="1:8" x14ac:dyDescent="0.35">
      <c r="A809" t="s">
        <v>2207</v>
      </c>
      <c r="B809" t="s">
        <v>1347</v>
      </c>
      <c r="C809" t="s">
        <v>1401</v>
      </c>
      <c r="D809">
        <v>16025.35</v>
      </c>
      <c r="E809" s="2">
        <v>45013</v>
      </c>
      <c r="F809" s="2">
        <v>45017</v>
      </c>
      <c r="G809">
        <v>4</v>
      </c>
      <c r="H809" t="s">
        <v>1399</v>
      </c>
    </row>
    <row r="810" spans="1:8" x14ac:dyDescent="0.35">
      <c r="A810" t="s">
        <v>2208</v>
      </c>
      <c r="B810" t="s">
        <v>407</v>
      </c>
      <c r="C810" t="s">
        <v>1394</v>
      </c>
      <c r="E810" s="2">
        <v>45105</v>
      </c>
      <c r="F810" s="2"/>
      <c r="H810" t="s">
        <v>1395</v>
      </c>
    </row>
    <row r="811" spans="1:8" x14ac:dyDescent="0.35">
      <c r="A811" t="s">
        <v>2209</v>
      </c>
      <c r="B811" t="s">
        <v>1168</v>
      </c>
      <c r="C811" t="s">
        <v>1394</v>
      </c>
      <c r="E811" s="2">
        <v>45654</v>
      </c>
      <c r="F811" s="2"/>
      <c r="H811" t="s">
        <v>1395</v>
      </c>
    </row>
    <row r="812" spans="1:8" x14ac:dyDescent="0.35">
      <c r="A812" t="s">
        <v>2210</v>
      </c>
      <c r="B812" t="s">
        <v>1249</v>
      </c>
      <c r="C812" t="s">
        <v>1394</v>
      </c>
      <c r="E812" s="2">
        <v>44923</v>
      </c>
      <c r="F812" s="2"/>
      <c r="H812" t="s">
        <v>1395</v>
      </c>
    </row>
    <row r="813" spans="1:8" x14ac:dyDescent="0.35">
      <c r="A813" t="s">
        <v>2211</v>
      </c>
      <c r="B813" t="s">
        <v>670</v>
      </c>
      <c r="C813" t="s">
        <v>1394</v>
      </c>
      <c r="E813" s="2">
        <v>45563</v>
      </c>
      <c r="F813" s="2"/>
      <c r="H813" t="s">
        <v>1395</v>
      </c>
    </row>
    <row r="814" spans="1:8" x14ac:dyDescent="0.35">
      <c r="A814" t="s">
        <v>2212</v>
      </c>
      <c r="B814" t="s">
        <v>421</v>
      </c>
      <c r="C814" t="s">
        <v>1394</v>
      </c>
      <c r="E814" s="2">
        <v>44679</v>
      </c>
      <c r="F814" s="2"/>
      <c r="H814" t="s">
        <v>1395</v>
      </c>
    </row>
    <row r="815" spans="1:8" x14ac:dyDescent="0.35">
      <c r="A815" t="s">
        <v>2213</v>
      </c>
      <c r="B815" t="s">
        <v>961</v>
      </c>
      <c r="C815" t="s">
        <v>1401</v>
      </c>
      <c r="D815">
        <v>23505.51</v>
      </c>
      <c r="E815" s="2">
        <v>44740</v>
      </c>
      <c r="F815" s="2">
        <v>44748</v>
      </c>
      <c r="G815">
        <v>8</v>
      </c>
      <c r="H815" t="s">
        <v>1399</v>
      </c>
    </row>
    <row r="816" spans="1:8" x14ac:dyDescent="0.35">
      <c r="A816" t="s">
        <v>2214</v>
      </c>
      <c r="B816" t="s">
        <v>747</v>
      </c>
      <c r="C816" t="s">
        <v>1401</v>
      </c>
      <c r="D816">
        <v>38161.58</v>
      </c>
      <c r="E816" s="2">
        <v>45350</v>
      </c>
      <c r="F816" s="2">
        <v>45358</v>
      </c>
      <c r="G816">
        <v>8</v>
      </c>
      <c r="H816" t="s">
        <v>1399</v>
      </c>
    </row>
    <row r="817" spans="1:8" x14ac:dyDescent="0.35">
      <c r="A817" t="s">
        <v>2215</v>
      </c>
      <c r="B817" t="s">
        <v>610</v>
      </c>
      <c r="C817" t="s">
        <v>1394</v>
      </c>
      <c r="E817" s="2">
        <v>44770</v>
      </c>
      <c r="F817" s="2"/>
      <c r="H817" t="s">
        <v>1395</v>
      </c>
    </row>
    <row r="818" spans="1:8" x14ac:dyDescent="0.35">
      <c r="A818" t="s">
        <v>2216</v>
      </c>
      <c r="B818" t="s">
        <v>409</v>
      </c>
      <c r="C818" t="s">
        <v>1398</v>
      </c>
      <c r="D818">
        <v>17576.05</v>
      </c>
      <c r="E818" s="2">
        <v>45440</v>
      </c>
      <c r="F818" s="2">
        <v>45449</v>
      </c>
      <c r="G818">
        <v>9</v>
      </c>
      <c r="H818" t="s">
        <v>1399</v>
      </c>
    </row>
    <row r="819" spans="1:8" x14ac:dyDescent="0.35">
      <c r="A819" t="s">
        <v>2217</v>
      </c>
      <c r="B819" t="s">
        <v>1003</v>
      </c>
      <c r="C819" t="s">
        <v>1401</v>
      </c>
      <c r="D819">
        <v>18554.04</v>
      </c>
      <c r="E819" s="2">
        <v>45532</v>
      </c>
      <c r="F819" s="2">
        <v>45537</v>
      </c>
      <c r="G819">
        <v>5</v>
      </c>
      <c r="H819" t="s">
        <v>1399</v>
      </c>
    </row>
    <row r="820" spans="1:8" x14ac:dyDescent="0.35">
      <c r="A820" t="s">
        <v>2218</v>
      </c>
      <c r="B820" t="s">
        <v>1079</v>
      </c>
      <c r="C820" t="s">
        <v>1401</v>
      </c>
      <c r="D820">
        <v>17679.18</v>
      </c>
      <c r="E820" s="2">
        <v>44893</v>
      </c>
      <c r="F820" s="2">
        <v>44974</v>
      </c>
      <c r="G820">
        <v>81</v>
      </c>
      <c r="H820" t="s">
        <v>1399</v>
      </c>
    </row>
    <row r="821" spans="1:8" x14ac:dyDescent="0.35">
      <c r="A821" t="s">
        <v>2219</v>
      </c>
      <c r="B821" t="s">
        <v>745</v>
      </c>
      <c r="C821" t="s">
        <v>1394</v>
      </c>
      <c r="E821" s="2">
        <v>44709</v>
      </c>
      <c r="F821" s="2"/>
      <c r="H821" t="s">
        <v>1395</v>
      </c>
    </row>
    <row r="822" spans="1:8" x14ac:dyDescent="0.35">
      <c r="A822" t="s">
        <v>2220</v>
      </c>
      <c r="B822" t="s">
        <v>569</v>
      </c>
      <c r="C822" t="s">
        <v>1394</v>
      </c>
      <c r="E822" s="2">
        <v>45197</v>
      </c>
      <c r="F822" s="2"/>
      <c r="H822" t="s">
        <v>1395</v>
      </c>
    </row>
    <row r="823" spans="1:8" x14ac:dyDescent="0.35">
      <c r="A823" t="s">
        <v>2221</v>
      </c>
      <c r="B823" t="s">
        <v>552</v>
      </c>
      <c r="C823" t="s">
        <v>1398</v>
      </c>
      <c r="D823">
        <v>11191.94</v>
      </c>
      <c r="E823" s="2">
        <v>45227</v>
      </c>
      <c r="F823" s="2"/>
      <c r="H823" t="s">
        <v>1416</v>
      </c>
    </row>
    <row r="824" spans="1:8" x14ac:dyDescent="0.35">
      <c r="A824" t="s">
        <v>2222</v>
      </c>
      <c r="B824" t="s">
        <v>691</v>
      </c>
      <c r="C824" t="s">
        <v>1401</v>
      </c>
      <c r="D824">
        <v>442.36</v>
      </c>
      <c r="E824" s="2">
        <v>44832</v>
      </c>
      <c r="F824" s="2">
        <v>44863</v>
      </c>
      <c r="G824">
        <v>31</v>
      </c>
      <c r="H824" t="s">
        <v>1399</v>
      </c>
    </row>
    <row r="825" spans="1:8" x14ac:dyDescent="0.35">
      <c r="A825" t="s">
        <v>2223</v>
      </c>
      <c r="B825" t="s">
        <v>1362</v>
      </c>
      <c r="C825" t="s">
        <v>1398</v>
      </c>
      <c r="D825">
        <v>15626.64</v>
      </c>
      <c r="E825" s="2">
        <v>44893</v>
      </c>
      <c r="F825" s="2">
        <v>44903</v>
      </c>
      <c r="G825">
        <v>10</v>
      </c>
      <c r="H825" t="s">
        <v>1399</v>
      </c>
    </row>
    <row r="826" spans="1:8" x14ac:dyDescent="0.35">
      <c r="A826" t="s">
        <v>2224</v>
      </c>
      <c r="B826" t="s">
        <v>1223</v>
      </c>
      <c r="C826" t="s">
        <v>1394</v>
      </c>
      <c r="E826" s="2">
        <v>45044</v>
      </c>
      <c r="F826" s="2"/>
      <c r="H826" t="s">
        <v>1395</v>
      </c>
    </row>
    <row r="827" spans="1:8" x14ac:dyDescent="0.35">
      <c r="A827" t="s">
        <v>2225</v>
      </c>
      <c r="B827" t="s">
        <v>1273</v>
      </c>
      <c r="C827" t="s">
        <v>1401</v>
      </c>
      <c r="D827">
        <v>16418.810000000001</v>
      </c>
      <c r="E827" s="2">
        <v>45379</v>
      </c>
      <c r="F827" s="2">
        <v>45390</v>
      </c>
      <c r="G827">
        <v>11</v>
      </c>
      <c r="H827" t="s">
        <v>1399</v>
      </c>
    </row>
    <row r="828" spans="1:8" x14ac:dyDescent="0.35">
      <c r="A828" t="s">
        <v>2226</v>
      </c>
      <c r="B828" t="s">
        <v>480</v>
      </c>
      <c r="C828" t="s">
        <v>1398</v>
      </c>
      <c r="D828">
        <v>3424.79</v>
      </c>
      <c r="E828" s="2">
        <v>45654</v>
      </c>
      <c r="F828" s="2">
        <v>45669</v>
      </c>
      <c r="G828">
        <v>15</v>
      </c>
      <c r="H828" t="s">
        <v>1399</v>
      </c>
    </row>
    <row r="829" spans="1:8" x14ac:dyDescent="0.35">
      <c r="A829" t="s">
        <v>2227</v>
      </c>
      <c r="B829" t="s">
        <v>1305</v>
      </c>
      <c r="C829" t="s">
        <v>1401</v>
      </c>
      <c r="D829">
        <v>26483.37</v>
      </c>
      <c r="E829" s="2">
        <v>44648</v>
      </c>
      <c r="F829" s="2">
        <v>44649</v>
      </c>
      <c r="G829">
        <v>1</v>
      </c>
      <c r="H829" t="s">
        <v>1399</v>
      </c>
    </row>
    <row r="830" spans="1:8" x14ac:dyDescent="0.35">
      <c r="A830" t="s">
        <v>2228</v>
      </c>
      <c r="B830" t="s">
        <v>570</v>
      </c>
      <c r="C830" t="s">
        <v>1398</v>
      </c>
      <c r="D830">
        <v>11219.98</v>
      </c>
      <c r="E830" s="2">
        <v>44923</v>
      </c>
      <c r="F830" s="2">
        <v>44923</v>
      </c>
      <c r="G830">
        <v>0</v>
      </c>
      <c r="H830" t="s">
        <v>1399</v>
      </c>
    </row>
    <row r="831" spans="1:8" x14ac:dyDescent="0.35">
      <c r="A831" t="s">
        <v>2229</v>
      </c>
      <c r="B831" t="s">
        <v>477</v>
      </c>
      <c r="C831" t="s">
        <v>1398</v>
      </c>
      <c r="D831">
        <v>15113.49</v>
      </c>
      <c r="E831" s="2">
        <v>44923</v>
      </c>
      <c r="F831" s="2">
        <v>44936</v>
      </c>
      <c r="G831">
        <v>13</v>
      </c>
      <c r="H831" t="s">
        <v>1399</v>
      </c>
    </row>
    <row r="832" spans="1:8" x14ac:dyDescent="0.35">
      <c r="A832" t="s">
        <v>2230</v>
      </c>
      <c r="B832" t="s">
        <v>668</v>
      </c>
      <c r="C832" t="s">
        <v>1398</v>
      </c>
      <c r="D832">
        <v>2374.0300000000002</v>
      </c>
      <c r="E832" s="2">
        <v>45166</v>
      </c>
      <c r="F832" s="2">
        <v>45174</v>
      </c>
      <c r="G832">
        <v>8</v>
      </c>
      <c r="H832" t="s">
        <v>1399</v>
      </c>
    </row>
    <row r="833" spans="1:8" x14ac:dyDescent="0.35">
      <c r="A833" t="s">
        <v>2231</v>
      </c>
      <c r="B833" t="s">
        <v>639</v>
      </c>
      <c r="C833" t="s">
        <v>1398</v>
      </c>
      <c r="D833">
        <v>3914.96</v>
      </c>
      <c r="E833" s="2">
        <v>44862</v>
      </c>
      <c r="F833" s="2">
        <v>44863</v>
      </c>
      <c r="G833">
        <v>1</v>
      </c>
      <c r="H833" t="s">
        <v>1399</v>
      </c>
    </row>
    <row r="834" spans="1:8" x14ac:dyDescent="0.35">
      <c r="A834" t="s">
        <v>2232</v>
      </c>
      <c r="B834" t="s">
        <v>463</v>
      </c>
      <c r="C834" t="s">
        <v>1401</v>
      </c>
      <c r="D834">
        <v>24172.04</v>
      </c>
      <c r="E834" s="2">
        <v>45227</v>
      </c>
      <c r="F834" s="2">
        <v>45271</v>
      </c>
      <c r="G834">
        <v>44</v>
      </c>
      <c r="H834" t="s">
        <v>1399</v>
      </c>
    </row>
    <row r="835" spans="1:8" x14ac:dyDescent="0.35">
      <c r="A835" t="s">
        <v>2233</v>
      </c>
      <c r="B835" t="s">
        <v>553</v>
      </c>
      <c r="C835" t="s">
        <v>1394</v>
      </c>
      <c r="E835" s="2">
        <v>45593</v>
      </c>
      <c r="F835" s="2"/>
      <c r="H835" t="s">
        <v>1395</v>
      </c>
    </row>
    <row r="836" spans="1:8" x14ac:dyDescent="0.35">
      <c r="A836" t="s">
        <v>2234</v>
      </c>
      <c r="B836" t="s">
        <v>1122</v>
      </c>
      <c r="C836" t="s">
        <v>1394</v>
      </c>
      <c r="E836" s="2">
        <v>44985</v>
      </c>
      <c r="F836" s="2"/>
      <c r="H836" t="s">
        <v>1395</v>
      </c>
    </row>
    <row r="837" spans="1:8" x14ac:dyDescent="0.35">
      <c r="A837" t="s">
        <v>2235</v>
      </c>
      <c r="B837" t="s">
        <v>917</v>
      </c>
      <c r="C837" t="s">
        <v>1394</v>
      </c>
      <c r="E837" s="2">
        <v>45258</v>
      </c>
      <c r="F837" s="2"/>
      <c r="H837" t="s">
        <v>1395</v>
      </c>
    </row>
    <row r="838" spans="1:8" x14ac:dyDescent="0.35">
      <c r="A838" t="s">
        <v>2236</v>
      </c>
      <c r="B838" t="s">
        <v>933</v>
      </c>
      <c r="C838" t="s">
        <v>1401</v>
      </c>
      <c r="D838">
        <v>20373.97</v>
      </c>
      <c r="E838" s="2">
        <v>44832</v>
      </c>
      <c r="F838" s="2">
        <v>44840</v>
      </c>
      <c r="G838">
        <v>8</v>
      </c>
      <c r="H838" t="s">
        <v>1399</v>
      </c>
    </row>
    <row r="839" spans="1:8" x14ac:dyDescent="0.35">
      <c r="A839" t="s">
        <v>2237</v>
      </c>
      <c r="B839" t="s">
        <v>815</v>
      </c>
      <c r="C839" t="s">
        <v>1394</v>
      </c>
      <c r="E839" s="2">
        <v>45288</v>
      </c>
      <c r="F839" s="2"/>
      <c r="H839" t="s">
        <v>1395</v>
      </c>
    </row>
    <row r="840" spans="1:8" x14ac:dyDescent="0.35">
      <c r="A840" t="s">
        <v>2238</v>
      </c>
      <c r="B840" t="s">
        <v>1169</v>
      </c>
      <c r="C840" t="s">
        <v>1398</v>
      </c>
      <c r="D840">
        <v>4611.6000000000004</v>
      </c>
      <c r="E840" s="2">
        <v>44862</v>
      </c>
      <c r="F840" s="2">
        <v>44863</v>
      </c>
      <c r="G840">
        <v>1</v>
      </c>
      <c r="H840" t="s">
        <v>1399</v>
      </c>
    </row>
    <row r="841" spans="1:8" x14ac:dyDescent="0.35">
      <c r="A841" t="s">
        <v>2239</v>
      </c>
      <c r="B841" t="s">
        <v>1337</v>
      </c>
      <c r="C841" t="s">
        <v>1398</v>
      </c>
      <c r="D841">
        <v>3705.88</v>
      </c>
      <c r="E841" s="2">
        <v>44801</v>
      </c>
      <c r="F841" s="2">
        <v>44802</v>
      </c>
      <c r="G841">
        <v>1</v>
      </c>
      <c r="H841" t="s">
        <v>1399</v>
      </c>
    </row>
    <row r="842" spans="1:8" x14ac:dyDescent="0.35">
      <c r="A842" t="s">
        <v>2240</v>
      </c>
      <c r="B842" t="s">
        <v>1172</v>
      </c>
      <c r="C842" t="s">
        <v>1401</v>
      </c>
      <c r="D842">
        <v>29930.04</v>
      </c>
      <c r="E842" s="2">
        <v>45654</v>
      </c>
      <c r="F842" s="2">
        <v>45702</v>
      </c>
      <c r="G842">
        <v>48</v>
      </c>
      <c r="H842" t="s">
        <v>1399</v>
      </c>
    </row>
    <row r="843" spans="1:8" x14ac:dyDescent="0.35">
      <c r="A843" t="s">
        <v>2241</v>
      </c>
      <c r="B843" t="s">
        <v>955</v>
      </c>
      <c r="C843" t="s">
        <v>1398</v>
      </c>
      <c r="D843">
        <v>10624.24</v>
      </c>
      <c r="E843" s="2">
        <v>44679</v>
      </c>
      <c r="F843" s="2">
        <v>44691</v>
      </c>
      <c r="G843">
        <v>12</v>
      </c>
      <c r="H843" t="s">
        <v>1399</v>
      </c>
    </row>
    <row r="844" spans="1:8" x14ac:dyDescent="0.35">
      <c r="A844" t="s">
        <v>2242</v>
      </c>
      <c r="B844" t="s">
        <v>803</v>
      </c>
      <c r="C844" t="s">
        <v>1401</v>
      </c>
      <c r="D844">
        <v>12834.63</v>
      </c>
      <c r="E844" s="2">
        <v>44679</v>
      </c>
      <c r="F844" s="2">
        <v>44688</v>
      </c>
      <c r="G844">
        <v>9</v>
      </c>
      <c r="H844" t="s">
        <v>1399</v>
      </c>
    </row>
    <row r="845" spans="1:8" x14ac:dyDescent="0.35">
      <c r="A845" t="s">
        <v>2243</v>
      </c>
      <c r="B845" t="s">
        <v>1356</v>
      </c>
      <c r="C845" t="s">
        <v>1394</v>
      </c>
      <c r="E845" s="2">
        <v>44648</v>
      </c>
      <c r="F845" s="2"/>
      <c r="H845" t="s">
        <v>1395</v>
      </c>
    </row>
    <row r="846" spans="1:8" x14ac:dyDescent="0.35">
      <c r="A846" t="s">
        <v>2244</v>
      </c>
      <c r="B846" t="s">
        <v>899</v>
      </c>
      <c r="C846" t="s">
        <v>1398</v>
      </c>
      <c r="D846">
        <v>664.68</v>
      </c>
      <c r="E846" s="2">
        <v>45044</v>
      </c>
      <c r="F846" s="2">
        <v>45056</v>
      </c>
      <c r="G846">
        <v>12</v>
      </c>
      <c r="H846" t="s">
        <v>1399</v>
      </c>
    </row>
    <row r="847" spans="1:8" x14ac:dyDescent="0.35">
      <c r="A847" t="s">
        <v>2245</v>
      </c>
      <c r="B847" t="s">
        <v>902</v>
      </c>
      <c r="C847" t="s">
        <v>1394</v>
      </c>
      <c r="E847" s="2">
        <v>45440</v>
      </c>
      <c r="F847" s="2"/>
      <c r="H847" t="s">
        <v>1395</v>
      </c>
    </row>
    <row r="848" spans="1:8" x14ac:dyDescent="0.35">
      <c r="A848" t="s">
        <v>2246</v>
      </c>
      <c r="B848" t="s">
        <v>1108</v>
      </c>
      <c r="C848" t="s">
        <v>1398</v>
      </c>
      <c r="D848">
        <v>14140.78</v>
      </c>
      <c r="E848" s="2">
        <v>45258</v>
      </c>
      <c r="F848" s="2">
        <v>45328</v>
      </c>
      <c r="G848">
        <v>70</v>
      </c>
      <c r="H848" t="s">
        <v>1399</v>
      </c>
    </row>
    <row r="849" spans="1:8" x14ac:dyDescent="0.35">
      <c r="A849" t="s">
        <v>2247</v>
      </c>
      <c r="B849" t="s">
        <v>585</v>
      </c>
      <c r="C849" t="s">
        <v>1401</v>
      </c>
      <c r="D849">
        <v>23971.759999999998</v>
      </c>
      <c r="E849" s="2">
        <v>44740</v>
      </c>
      <c r="F849" s="2">
        <v>44744</v>
      </c>
      <c r="G849">
        <v>4</v>
      </c>
      <c r="H849" t="s">
        <v>1399</v>
      </c>
    </row>
    <row r="850" spans="1:8" x14ac:dyDescent="0.35">
      <c r="A850" t="s">
        <v>2248</v>
      </c>
      <c r="B850" t="s">
        <v>1205</v>
      </c>
      <c r="C850" t="s">
        <v>1398</v>
      </c>
      <c r="D850">
        <v>18163.46</v>
      </c>
      <c r="E850" s="2">
        <v>44770</v>
      </c>
      <c r="F850" s="2">
        <v>44810</v>
      </c>
      <c r="G850">
        <v>40</v>
      </c>
      <c r="H850" t="s">
        <v>1399</v>
      </c>
    </row>
    <row r="851" spans="1:8" x14ac:dyDescent="0.35">
      <c r="A851" t="s">
        <v>2249</v>
      </c>
      <c r="B851" t="s">
        <v>898</v>
      </c>
      <c r="C851" t="s">
        <v>1401</v>
      </c>
      <c r="D851">
        <v>819.27</v>
      </c>
      <c r="E851" s="2">
        <v>45471</v>
      </c>
      <c r="F851" s="2">
        <v>45483</v>
      </c>
      <c r="G851">
        <v>12</v>
      </c>
      <c r="H851" t="s">
        <v>1399</v>
      </c>
    </row>
    <row r="852" spans="1:8" x14ac:dyDescent="0.35">
      <c r="A852" t="s">
        <v>2250</v>
      </c>
      <c r="B852" t="s">
        <v>700</v>
      </c>
      <c r="C852" t="s">
        <v>1401</v>
      </c>
      <c r="D852">
        <v>27551.45</v>
      </c>
      <c r="E852" s="2">
        <v>45563</v>
      </c>
      <c r="F852" s="2">
        <v>45624</v>
      </c>
      <c r="G852">
        <v>61</v>
      </c>
      <c r="H852" t="s">
        <v>1399</v>
      </c>
    </row>
    <row r="853" spans="1:8" x14ac:dyDescent="0.35">
      <c r="A853" t="s">
        <v>2251</v>
      </c>
      <c r="B853" t="s">
        <v>807</v>
      </c>
      <c r="C853" t="s">
        <v>1398</v>
      </c>
      <c r="D853">
        <v>4532.3599999999997</v>
      </c>
      <c r="E853" s="2">
        <v>45593</v>
      </c>
      <c r="F853" s="2"/>
      <c r="H853" t="s">
        <v>1416</v>
      </c>
    </row>
    <row r="854" spans="1:8" x14ac:dyDescent="0.35">
      <c r="A854" t="s">
        <v>2252</v>
      </c>
      <c r="B854" t="s">
        <v>1248</v>
      </c>
      <c r="C854" t="s">
        <v>1401</v>
      </c>
      <c r="D854">
        <v>36296.910000000003</v>
      </c>
      <c r="E854" s="2">
        <v>44832</v>
      </c>
      <c r="F854" s="2">
        <v>44856</v>
      </c>
      <c r="G854">
        <v>24</v>
      </c>
      <c r="H854" t="s">
        <v>1399</v>
      </c>
    </row>
    <row r="855" spans="1:8" x14ac:dyDescent="0.35">
      <c r="A855" t="s">
        <v>2253</v>
      </c>
      <c r="B855" t="s">
        <v>673</v>
      </c>
      <c r="C855" t="s">
        <v>1394</v>
      </c>
      <c r="E855" s="2">
        <v>45350</v>
      </c>
      <c r="F855" s="2"/>
      <c r="H855" t="s">
        <v>1395</v>
      </c>
    </row>
    <row r="856" spans="1:8" x14ac:dyDescent="0.35">
      <c r="A856" t="s">
        <v>2254</v>
      </c>
      <c r="B856" t="s">
        <v>1068</v>
      </c>
      <c r="C856" t="s">
        <v>1401</v>
      </c>
      <c r="D856">
        <v>2741.92</v>
      </c>
      <c r="E856" s="2">
        <v>44679</v>
      </c>
      <c r="F856" s="2">
        <v>44697</v>
      </c>
      <c r="G856">
        <v>18</v>
      </c>
      <c r="H856" t="s">
        <v>1399</v>
      </c>
    </row>
    <row r="857" spans="1:8" x14ac:dyDescent="0.35">
      <c r="A857" t="s">
        <v>2255</v>
      </c>
      <c r="B857" t="s">
        <v>1176</v>
      </c>
      <c r="C857" t="s">
        <v>1401</v>
      </c>
      <c r="D857">
        <v>2934.36</v>
      </c>
      <c r="E857" s="2">
        <v>44679</v>
      </c>
      <c r="F857" s="2">
        <v>44718</v>
      </c>
      <c r="G857">
        <v>39</v>
      </c>
      <c r="H857" t="s">
        <v>1399</v>
      </c>
    </row>
    <row r="858" spans="1:8" x14ac:dyDescent="0.35">
      <c r="A858" t="s">
        <v>2256</v>
      </c>
      <c r="B858" t="s">
        <v>482</v>
      </c>
      <c r="C858" t="s">
        <v>1398</v>
      </c>
      <c r="D858">
        <v>5497.35</v>
      </c>
      <c r="E858" s="2">
        <v>45013</v>
      </c>
      <c r="F858" s="2">
        <v>45023</v>
      </c>
      <c r="G858">
        <v>10</v>
      </c>
      <c r="H858" t="s">
        <v>1399</v>
      </c>
    </row>
    <row r="859" spans="1:8" x14ac:dyDescent="0.35">
      <c r="A859" t="s">
        <v>2257</v>
      </c>
      <c r="B859" t="s">
        <v>704</v>
      </c>
      <c r="C859" t="s">
        <v>1394</v>
      </c>
      <c r="E859" s="2">
        <v>44832</v>
      </c>
      <c r="F859" s="2"/>
      <c r="H859" t="s">
        <v>1395</v>
      </c>
    </row>
    <row r="860" spans="1:8" x14ac:dyDescent="0.35">
      <c r="A860" t="s">
        <v>2258</v>
      </c>
      <c r="B860" t="s">
        <v>843</v>
      </c>
      <c r="C860" t="s">
        <v>1398</v>
      </c>
      <c r="D860">
        <v>13346.53</v>
      </c>
      <c r="E860" s="2">
        <v>45013</v>
      </c>
      <c r="F860" s="2">
        <v>45019</v>
      </c>
      <c r="G860">
        <v>6</v>
      </c>
      <c r="H860" t="s">
        <v>1399</v>
      </c>
    </row>
    <row r="861" spans="1:8" x14ac:dyDescent="0.35">
      <c r="A861" t="s">
        <v>2259</v>
      </c>
      <c r="B861" t="s">
        <v>1174</v>
      </c>
      <c r="C861" t="s">
        <v>1398</v>
      </c>
      <c r="E861" s="2">
        <v>44985</v>
      </c>
      <c r="F861" s="2">
        <v>45014</v>
      </c>
      <c r="G861">
        <v>29</v>
      </c>
      <c r="H861" t="s">
        <v>1435</v>
      </c>
    </row>
    <row r="862" spans="1:8" x14ac:dyDescent="0.35">
      <c r="A862" t="s">
        <v>2260</v>
      </c>
      <c r="B862" t="s">
        <v>1251</v>
      </c>
      <c r="C862" t="s">
        <v>1401</v>
      </c>
      <c r="D862">
        <v>6017.89</v>
      </c>
      <c r="E862" s="2">
        <v>45135</v>
      </c>
      <c r="F862" s="2">
        <v>45221</v>
      </c>
      <c r="G862">
        <v>86</v>
      </c>
      <c r="H862" t="s">
        <v>1399</v>
      </c>
    </row>
    <row r="863" spans="1:8" x14ac:dyDescent="0.35">
      <c r="A863" t="s">
        <v>2261</v>
      </c>
      <c r="B863" t="s">
        <v>571</v>
      </c>
      <c r="C863" t="s">
        <v>1398</v>
      </c>
      <c r="D863">
        <v>4822.99</v>
      </c>
      <c r="E863" s="2">
        <v>44832</v>
      </c>
      <c r="F863" s="2">
        <v>44849</v>
      </c>
      <c r="G863">
        <v>17</v>
      </c>
      <c r="H863" t="s">
        <v>1399</v>
      </c>
    </row>
    <row r="864" spans="1:8" x14ac:dyDescent="0.35">
      <c r="A864" t="s">
        <v>2262</v>
      </c>
      <c r="B864" t="s">
        <v>1216</v>
      </c>
      <c r="C864" t="s">
        <v>1401</v>
      </c>
      <c r="D864">
        <v>5902.34</v>
      </c>
      <c r="E864" s="2">
        <v>44620</v>
      </c>
      <c r="F864" s="2">
        <v>44705</v>
      </c>
      <c r="G864">
        <v>85</v>
      </c>
      <c r="H864" t="s">
        <v>1399</v>
      </c>
    </row>
    <row r="865" spans="1:8" x14ac:dyDescent="0.35">
      <c r="A865" t="s">
        <v>2263</v>
      </c>
      <c r="B865" t="s">
        <v>461</v>
      </c>
      <c r="C865" t="s">
        <v>1398</v>
      </c>
      <c r="D865">
        <v>958.79</v>
      </c>
      <c r="E865" s="2">
        <v>44648</v>
      </c>
      <c r="F865" s="2"/>
      <c r="H865" t="s">
        <v>1416</v>
      </c>
    </row>
    <row r="866" spans="1:8" x14ac:dyDescent="0.35">
      <c r="A866" t="s">
        <v>2264</v>
      </c>
      <c r="B866" t="s">
        <v>719</v>
      </c>
      <c r="C866" t="s">
        <v>1398</v>
      </c>
      <c r="E866" s="2">
        <v>44893</v>
      </c>
      <c r="F866" s="2">
        <v>44954</v>
      </c>
      <c r="G866">
        <v>61</v>
      </c>
      <c r="H866" t="s">
        <v>1435</v>
      </c>
    </row>
    <row r="867" spans="1:8" x14ac:dyDescent="0.35">
      <c r="A867" t="s">
        <v>2265</v>
      </c>
      <c r="B867" t="s">
        <v>1301</v>
      </c>
      <c r="C867" t="s">
        <v>1394</v>
      </c>
      <c r="E867" s="2">
        <v>45501</v>
      </c>
      <c r="F867" s="2"/>
      <c r="H867" t="s">
        <v>1395</v>
      </c>
    </row>
    <row r="868" spans="1:8" x14ac:dyDescent="0.35">
      <c r="A868" t="s">
        <v>2266</v>
      </c>
      <c r="B868" t="s">
        <v>1026</v>
      </c>
      <c r="C868" t="s">
        <v>1401</v>
      </c>
      <c r="D868">
        <v>14812.37</v>
      </c>
      <c r="E868" s="2">
        <v>45379</v>
      </c>
      <c r="F868" s="2">
        <v>45396</v>
      </c>
      <c r="G868">
        <v>17</v>
      </c>
      <c r="H868" t="s">
        <v>1399</v>
      </c>
    </row>
    <row r="869" spans="1:8" x14ac:dyDescent="0.35">
      <c r="A869" t="s">
        <v>2267</v>
      </c>
      <c r="B869" t="s">
        <v>797</v>
      </c>
      <c r="C869" t="s">
        <v>1398</v>
      </c>
      <c r="E869" s="2">
        <v>45440</v>
      </c>
      <c r="F869" s="2">
        <v>45450</v>
      </c>
      <c r="G869">
        <v>10</v>
      </c>
      <c r="H869" t="s">
        <v>1435</v>
      </c>
    </row>
    <row r="870" spans="1:8" x14ac:dyDescent="0.35">
      <c r="A870" t="s">
        <v>2268</v>
      </c>
      <c r="B870" t="s">
        <v>1317</v>
      </c>
      <c r="C870" t="s">
        <v>1401</v>
      </c>
      <c r="D870">
        <v>37093.54</v>
      </c>
      <c r="E870" s="2">
        <v>44770</v>
      </c>
      <c r="F870" s="2">
        <v>44784</v>
      </c>
      <c r="G870">
        <v>14</v>
      </c>
      <c r="H870" t="s">
        <v>1399</v>
      </c>
    </row>
    <row r="871" spans="1:8" x14ac:dyDescent="0.35">
      <c r="A871" t="s">
        <v>2269</v>
      </c>
      <c r="B871" t="s">
        <v>962</v>
      </c>
      <c r="C871" t="s">
        <v>1394</v>
      </c>
      <c r="E871" s="2">
        <v>45501</v>
      </c>
      <c r="F871" s="2"/>
      <c r="H871" t="s">
        <v>1395</v>
      </c>
    </row>
    <row r="872" spans="1:8" x14ac:dyDescent="0.35">
      <c r="A872" t="s">
        <v>2270</v>
      </c>
      <c r="B872" t="s">
        <v>1090</v>
      </c>
      <c r="C872" t="s">
        <v>1398</v>
      </c>
      <c r="D872">
        <v>2807.64</v>
      </c>
      <c r="E872" s="2">
        <v>45654</v>
      </c>
      <c r="F872" s="2"/>
      <c r="H872" t="s">
        <v>1416</v>
      </c>
    </row>
    <row r="873" spans="1:8" x14ac:dyDescent="0.35">
      <c r="A873" t="s">
        <v>2271</v>
      </c>
      <c r="B873" t="s">
        <v>1127</v>
      </c>
      <c r="C873" t="s">
        <v>1394</v>
      </c>
      <c r="E873" s="2">
        <v>45044</v>
      </c>
      <c r="F873" s="2"/>
      <c r="H873" t="s">
        <v>1395</v>
      </c>
    </row>
    <row r="874" spans="1:8" x14ac:dyDescent="0.35">
      <c r="A874" t="s">
        <v>2272</v>
      </c>
      <c r="B874" t="s">
        <v>606</v>
      </c>
      <c r="C874" t="s">
        <v>1398</v>
      </c>
      <c r="D874">
        <v>5963.45</v>
      </c>
      <c r="E874" s="2">
        <v>44985</v>
      </c>
      <c r="F874" s="2"/>
      <c r="H874" t="s">
        <v>1416</v>
      </c>
    </row>
    <row r="875" spans="1:8" x14ac:dyDescent="0.35">
      <c r="A875" t="s">
        <v>2273</v>
      </c>
      <c r="B875" t="s">
        <v>1110</v>
      </c>
      <c r="C875" t="s">
        <v>1394</v>
      </c>
      <c r="E875" s="2">
        <v>44770</v>
      </c>
      <c r="F875" s="2"/>
      <c r="H875" t="s">
        <v>1395</v>
      </c>
    </row>
    <row r="876" spans="1:8" x14ac:dyDescent="0.35">
      <c r="A876" t="s">
        <v>2274</v>
      </c>
      <c r="B876" t="s">
        <v>699</v>
      </c>
      <c r="C876" t="s">
        <v>1401</v>
      </c>
      <c r="D876">
        <v>34819.06</v>
      </c>
      <c r="E876" s="2">
        <v>44770</v>
      </c>
      <c r="F876" s="2">
        <v>44782</v>
      </c>
      <c r="G876">
        <v>12</v>
      </c>
      <c r="H876" t="s">
        <v>1399</v>
      </c>
    </row>
    <row r="877" spans="1:8" x14ac:dyDescent="0.35">
      <c r="A877" t="s">
        <v>2275</v>
      </c>
      <c r="B877" t="s">
        <v>494</v>
      </c>
      <c r="C877" t="s">
        <v>1398</v>
      </c>
      <c r="D877">
        <v>7507.92</v>
      </c>
      <c r="E877" s="2">
        <v>45593</v>
      </c>
      <c r="F877" s="2">
        <v>45597</v>
      </c>
      <c r="G877">
        <v>4</v>
      </c>
      <c r="H877" t="s">
        <v>1399</v>
      </c>
    </row>
    <row r="878" spans="1:8" x14ac:dyDescent="0.35">
      <c r="A878" t="s">
        <v>2276</v>
      </c>
      <c r="B878" t="s">
        <v>1115</v>
      </c>
      <c r="C878" t="s">
        <v>1401</v>
      </c>
      <c r="D878">
        <v>38181.21</v>
      </c>
      <c r="E878" s="2">
        <v>44770</v>
      </c>
      <c r="F878" s="2">
        <v>44770</v>
      </c>
      <c r="G878">
        <v>0</v>
      </c>
      <c r="H878" t="s">
        <v>1399</v>
      </c>
    </row>
    <row r="879" spans="1:8" x14ac:dyDescent="0.35">
      <c r="A879" t="s">
        <v>2277</v>
      </c>
      <c r="B879" t="s">
        <v>1263</v>
      </c>
      <c r="C879" t="s">
        <v>1394</v>
      </c>
      <c r="E879" s="2">
        <v>45501</v>
      </c>
      <c r="F879" s="2"/>
      <c r="H879" t="s">
        <v>1395</v>
      </c>
    </row>
    <row r="880" spans="1:8" x14ac:dyDescent="0.35">
      <c r="A880" t="s">
        <v>2278</v>
      </c>
      <c r="B880" t="s">
        <v>1379</v>
      </c>
      <c r="C880" t="s">
        <v>1401</v>
      </c>
      <c r="D880">
        <v>36996.199999999997</v>
      </c>
      <c r="E880" s="2">
        <v>45105</v>
      </c>
      <c r="F880" s="2">
        <v>45112</v>
      </c>
      <c r="G880">
        <v>7</v>
      </c>
      <c r="H880" t="s">
        <v>1399</v>
      </c>
    </row>
    <row r="881" spans="1:8" x14ac:dyDescent="0.35">
      <c r="A881" t="s">
        <v>2279</v>
      </c>
      <c r="B881" t="s">
        <v>530</v>
      </c>
      <c r="C881" t="s">
        <v>1394</v>
      </c>
      <c r="E881" s="2">
        <v>45105</v>
      </c>
      <c r="F881" s="2"/>
      <c r="H881" t="s">
        <v>1395</v>
      </c>
    </row>
    <row r="882" spans="1:8" x14ac:dyDescent="0.35">
      <c r="A882" t="s">
        <v>2280</v>
      </c>
      <c r="B882" t="s">
        <v>516</v>
      </c>
      <c r="C882" t="s">
        <v>1401</v>
      </c>
      <c r="D882">
        <v>18342.48</v>
      </c>
      <c r="E882" s="2">
        <v>45288</v>
      </c>
      <c r="F882" s="2">
        <v>45298</v>
      </c>
      <c r="G882">
        <v>10</v>
      </c>
      <c r="H882" t="s">
        <v>1399</v>
      </c>
    </row>
    <row r="883" spans="1:8" x14ac:dyDescent="0.35">
      <c r="A883" t="s">
        <v>2281</v>
      </c>
      <c r="B883" t="s">
        <v>1047</v>
      </c>
      <c r="C883" t="s">
        <v>1394</v>
      </c>
      <c r="E883" s="2">
        <v>45013</v>
      </c>
      <c r="F883" s="2"/>
      <c r="H883" t="s">
        <v>1395</v>
      </c>
    </row>
    <row r="884" spans="1:8" x14ac:dyDescent="0.35">
      <c r="A884" t="s">
        <v>2282</v>
      </c>
      <c r="B884" t="s">
        <v>1114</v>
      </c>
      <c r="C884" t="s">
        <v>1394</v>
      </c>
      <c r="E884" s="2">
        <v>44740</v>
      </c>
      <c r="F884" s="2"/>
      <c r="H884" t="s">
        <v>1395</v>
      </c>
    </row>
    <row r="885" spans="1:8" x14ac:dyDescent="0.35">
      <c r="A885" t="s">
        <v>2283</v>
      </c>
      <c r="B885" t="s">
        <v>521</v>
      </c>
      <c r="C885" t="s">
        <v>1398</v>
      </c>
      <c r="D885">
        <v>649.73</v>
      </c>
      <c r="E885" s="2">
        <v>45593</v>
      </c>
      <c r="F885" s="2"/>
      <c r="H885" t="s">
        <v>1416</v>
      </c>
    </row>
    <row r="886" spans="1:8" x14ac:dyDescent="0.35">
      <c r="A886" t="s">
        <v>2284</v>
      </c>
      <c r="B886" t="s">
        <v>459</v>
      </c>
      <c r="C886" t="s">
        <v>1394</v>
      </c>
      <c r="E886" s="2">
        <v>44679</v>
      </c>
      <c r="F886" s="2"/>
      <c r="H886" t="s">
        <v>1395</v>
      </c>
    </row>
    <row r="887" spans="1:8" x14ac:dyDescent="0.35">
      <c r="A887" t="s">
        <v>2285</v>
      </c>
      <c r="B887" t="s">
        <v>633</v>
      </c>
      <c r="C887" t="s">
        <v>1394</v>
      </c>
      <c r="E887" s="2">
        <v>44740</v>
      </c>
      <c r="F887" s="2"/>
      <c r="H887" t="s">
        <v>1395</v>
      </c>
    </row>
    <row r="888" spans="1:8" x14ac:dyDescent="0.35">
      <c r="A888" t="s">
        <v>2286</v>
      </c>
      <c r="B888" t="s">
        <v>1005</v>
      </c>
      <c r="C888" t="s">
        <v>1394</v>
      </c>
      <c r="E888" s="2">
        <v>45440</v>
      </c>
      <c r="F888" s="2"/>
      <c r="H888" t="s">
        <v>1395</v>
      </c>
    </row>
    <row r="889" spans="1:8" x14ac:dyDescent="0.35">
      <c r="A889" t="s">
        <v>2287</v>
      </c>
      <c r="B889" t="s">
        <v>934</v>
      </c>
      <c r="C889" t="s">
        <v>1401</v>
      </c>
      <c r="D889">
        <v>8793.9699999999993</v>
      </c>
      <c r="E889" s="2">
        <v>44679</v>
      </c>
      <c r="F889" s="2">
        <v>44707</v>
      </c>
      <c r="G889">
        <v>28</v>
      </c>
      <c r="H889" t="s">
        <v>1399</v>
      </c>
    </row>
    <row r="890" spans="1:8" x14ac:dyDescent="0.35">
      <c r="A890" t="s">
        <v>2288</v>
      </c>
      <c r="B890" t="s">
        <v>783</v>
      </c>
      <c r="C890" t="s">
        <v>1398</v>
      </c>
      <c r="D890">
        <v>15727.2</v>
      </c>
      <c r="E890" s="2">
        <v>45471</v>
      </c>
      <c r="F890" s="2"/>
      <c r="H890" t="s">
        <v>1416</v>
      </c>
    </row>
    <row r="891" spans="1:8" x14ac:dyDescent="0.35">
      <c r="A891" t="s">
        <v>2289</v>
      </c>
      <c r="B891" t="s">
        <v>1242</v>
      </c>
      <c r="C891" t="s">
        <v>1401</v>
      </c>
      <c r="D891">
        <v>38839.06</v>
      </c>
      <c r="E891" s="2">
        <v>44589</v>
      </c>
      <c r="F891" s="2">
        <v>44595</v>
      </c>
      <c r="G891">
        <v>6</v>
      </c>
      <c r="H891" t="s">
        <v>1399</v>
      </c>
    </row>
    <row r="892" spans="1:8" x14ac:dyDescent="0.35">
      <c r="A892" t="s">
        <v>2290</v>
      </c>
      <c r="B892" t="s">
        <v>1324</v>
      </c>
      <c r="C892" t="s">
        <v>1394</v>
      </c>
      <c r="E892" s="2">
        <v>44923</v>
      </c>
      <c r="F892" s="2"/>
      <c r="H892" t="s">
        <v>1395</v>
      </c>
    </row>
    <row r="893" spans="1:8" x14ac:dyDescent="0.35">
      <c r="A893" t="s">
        <v>2291</v>
      </c>
      <c r="B893" t="s">
        <v>1103</v>
      </c>
      <c r="C893" t="s">
        <v>1398</v>
      </c>
      <c r="D893">
        <v>10716.49</v>
      </c>
      <c r="E893" s="2">
        <v>44620</v>
      </c>
      <c r="F893" s="2">
        <v>44652</v>
      </c>
      <c r="G893">
        <v>32</v>
      </c>
      <c r="H893" t="s">
        <v>1399</v>
      </c>
    </row>
    <row r="894" spans="1:8" x14ac:dyDescent="0.35">
      <c r="A894" t="s">
        <v>2292</v>
      </c>
      <c r="B894" t="s">
        <v>1101</v>
      </c>
      <c r="C894" t="s">
        <v>1394</v>
      </c>
      <c r="E894" s="2">
        <v>45532</v>
      </c>
      <c r="F894" s="2"/>
      <c r="H894" t="s">
        <v>1395</v>
      </c>
    </row>
    <row r="895" spans="1:8" x14ac:dyDescent="0.35">
      <c r="A895" t="s">
        <v>2293</v>
      </c>
      <c r="B895" t="s">
        <v>1297</v>
      </c>
      <c r="C895" t="s">
        <v>1394</v>
      </c>
      <c r="E895" s="2">
        <v>44709</v>
      </c>
      <c r="F895" s="2"/>
      <c r="H895" t="s">
        <v>1395</v>
      </c>
    </row>
    <row r="896" spans="1:8" x14ac:dyDescent="0.35">
      <c r="A896" t="s">
        <v>2294</v>
      </c>
      <c r="B896" t="s">
        <v>728</v>
      </c>
      <c r="C896" t="s">
        <v>1394</v>
      </c>
      <c r="E896" s="2">
        <v>45166</v>
      </c>
      <c r="F896" s="2"/>
      <c r="H896" t="s">
        <v>1395</v>
      </c>
    </row>
    <row r="897" spans="1:8" x14ac:dyDescent="0.35">
      <c r="A897" t="s">
        <v>2295</v>
      </c>
      <c r="B897" t="s">
        <v>915</v>
      </c>
      <c r="C897" t="s">
        <v>1401</v>
      </c>
      <c r="D897">
        <v>18457.87</v>
      </c>
      <c r="E897" s="2">
        <v>44770</v>
      </c>
      <c r="F897" s="2">
        <v>44779</v>
      </c>
      <c r="G897">
        <v>9</v>
      </c>
      <c r="H897" t="s">
        <v>1399</v>
      </c>
    </row>
    <row r="898" spans="1:8" x14ac:dyDescent="0.35">
      <c r="A898" t="s">
        <v>2296</v>
      </c>
      <c r="B898" t="s">
        <v>1149</v>
      </c>
      <c r="C898" t="s">
        <v>1394</v>
      </c>
      <c r="E898" s="2">
        <v>44589</v>
      </c>
      <c r="F898" s="2"/>
      <c r="H898" t="s">
        <v>1395</v>
      </c>
    </row>
    <row r="899" spans="1:8" x14ac:dyDescent="0.35">
      <c r="A899" t="s">
        <v>2297</v>
      </c>
      <c r="B899" t="s">
        <v>853</v>
      </c>
      <c r="C899" t="s">
        <v>1394</v>
      </c>
      <c r="E899" s="2">
        <v>44770</v>
      </c>
      <c r="F899" s="2"/>
      <c r="H899" t="s">
        <v>1395</v>
      </c>
    </row>
    <row r="900" spans="1:8" x14ac:dyDescent="0.35">
      <c r="A900" t="s">
        <v>2298</v>
      </c>
      <c r="B900" t="s">
        <v>1307</v>
      </c>
      <c r="C900" t="s">
        <v>1398</v>
      </c>
      <c r="D900">
        <v>6183.71</v>
      </c>
      <c r="E900" s="2">
        <v>44648</v>
      </c>
      <c r="F900" s="2">
        <v>44648</v>
      </c>
      <c r="G900">
        <v>0</v>
      </c>
      <c r="H900" t="s">
        <v>1399</v>
      </c>
    </row>
    <row r="901" spans="1:8" x14ac:dyDescent="0.35">
      <c r="A901" t="s">
        <v>2299</v>
      </c>
      <c r="B901" t="s">
        <v>583</v>
      </c>
      <c r="C901" t="s">
        <v>1394</v>
      </c>
      <c r="E901" s="2">
        <v>44679</v>
      </c>
      <c r="F901" s="2"/>
      <c r="H901" t="s">
        <v>1395</v>
      </c>
    </row>
    <row r="902" spans="1:8" x14ac:dyDescent="0.35">
      <c r="A902" t="s">
        <v>2300</v>
      </c>
      <c r="B902" t="s">
        <v>964</v>
      </c>
      <c r="C902" t="s">
        <v>1394</v>
      </c>
      <c r="E902" s="2">
        <v>45227</v>
      </c>
      <c r="F902" s="2"/>
      <c r="H902" t="s">
        <v>1395</v>
      </c>
    </row>
    <row r="903" spans="1:8" x14ac:dyDescent="0.35">
      <c r="A903" t="s">
        <v>2301</v>
      </c>
      <c r="B903" t="s">
        <v>833</v>
      </c>
      <c r="C903" t="s">
        <v>1394</v>
      </c>
      <c r="E903" s="2">
        <v>44589</v>
      </c>
      <c r="F903" s="2"/>
      <c r="H903" t="s">
        <v>1395</v>
      </c>
    </row>
    <row r="904" spans="1:8" x14ac:dyDescent="0.35">
      <c r="A904" t="s">
        <v>2302</v>
      </c>
      <c r="B904" t="s">
        <v>1089</v>
      </c>
      <c r="C904" t="s">
        <v>1394</v>
      </c>
      <c r="E904" s="2">
        <v>45258</v>
      </c>
      <c r="F904" s="2"/>
      <c r="H904" t="s">
        <v>1395</v>
      </c>
    </row>
    <row r="905" spans="1:8" x14ac:dyDescent="0.35">
      <c r="A905" t="s">
        <v>2303</v>
      </c>
      <c r="B905" t="s">
        <v>579</v>
      </c>
      <c r="C905" t="s">
        <v>1401</v>
      </c>
      <c r="D905">
        <v>33737.39</v>
      </c>
      <c r="E905" s="2">
        <v>45624</v>
      </c>
      <c r="F905" s="2">
        <v>45684</v>
      </c>
      <c r="G905">
        <v>60</v>
      </c>
      <c r="H905" t="s">
        <v>1399</v>
      </c>
    </row>
    <row r="906" spans="1:8" x14ac:dyDescent="0.35">
      <c r="A906" t="s">
        <v>2304</v>
      </c>
      <c r="B906" t="s">
        <v>1099</v>
      </c>
      <c r="C906" t="s">
        <v>1394</v>
      </c>
      <c r="E906" s="2">
        <v>44801</v>
      </c>
      <c r="F906" s="2"/>
      <c r="H906" t="s">
        <v>1395</v>
      </c>
    </row>
    <row r="907" spans="1:8" x14ac:dyDescent="0.35">
      <c r="A907" t="s">
        <v>2305</v>
      </c>
      <c r="B907" t="s">
        <v>1137</v>
      </c>
      <c r="C907" t="s">
        <v>1394</v>
      </c>
      <c r="E907" s="2">
        <v>45135</v>
      </c>
      <c r="F907" s="2"/>
      <c r="H907" t="s">
        <v>1395</v>
      </c>
    </row>
    <row r="908" spans="1:8" x14ac:dyDescent="0.35">
      <c r="A908" t="s">
        <v>2306</v>
      </c>
      <c r="B908" t="s">
        <v>1052</v>
      </c>
      <c r="C908" t="s">
        <v>1394</v>
      </c>
      <c r="E908" s="2">
        <v>45258</v>
      </c>
      <c r="F908" s="2"/>
      <c r="H908" t="s">
        <v>1395</v>
      </c>
    </row>
    <row r="909" spans="1:8" x14ac:dyDescent="0.35">
      <c r="A909" t="s">
        <v>2307</v>
      </c>
      <c r="B909" t="s">
        <v>1308</v>
      </c>
      <c r="C909" t="s">
        <v>1394</v>
      </c>
      <c r="E909" s="2">
        <v>44893</v>
      </c>
      <c r="F909" s="2"/>
      <c r="H909" t="s">
        <v>1395</v>
      </c>
    </row>
    <row r="910" spans="1:8" x14ac:dyDescent="0.35">
      <c r="A910" t="s">
        <v>2308</v>
      </c>
      <c r="B910" t="s">
        <v>921</v>
      </c>
      <c r="C910" t="s">
        <v>1401</v>
      </c>
      <c r="D910">
        <v>31688.95</v>
      </c>
      <c r="E910" s="2">
        <v>45501</v>
      </c>
      <c r="F910" s="2">
        <v>45516</v>
      </c>
      <c r="G910">
        <v>15</v>
      </c>
      <c r="H910" t="s">
        <v>1399</v>
      </c>
    </row>
    <row r="911" spans="1:8" x14ac:dyDescent="0.35">
      <c r="A911" t="s">
        <v>2309</v>
      </c>
      <c r="B911" t="s">
        <v>998</v>
      </c>
      <c r="C911" t="s">
        <v>1394</v>
      </c>
      <c r="E911" s="2">
        <v>45013</v>
      </c>
      <c r="F911" s="2"/>
      <c r="H911" t="s">
        <v>1395</v>
      </c>
    </row>
    <row r="912" spans="1:8" x14ac:dyDescent="0.35">
      <c r="A912" t="s">
        <v>2310</v>
      </c>
      <c r="B912" t="s">
        <v>1195</v>
      </c>
      <c r="C912" t="s">
        <v>1394</v>
      </c>
      <c r="E912" s="2">
        <v>45044</v>
      </c>
      <c r="F912" s="2"/>
      <c r="H912" t="s">
        <v>1395</v>
      </c>
    </row>
    <row r="913" spans="1:8" x14ac:dyDescent="0.35">
      <c r="A913" t="s">
        <v>2311</v>
      </c>
      <c r="B913" t="s">
        <v>1241</v>
      </c>
      <c r="C913" t="s">
        <v>1401</v>
      </c>
      <c r="D913">
        <v>3684.11</v>
      </c>
      <c r="E913" s="2">
        <v>44862</v>
      </c>
      <c r="F913" s="2">
        <v>44899</v>
      </c>
      <c r="G913">
        <v>37</v>
      </c>
      <c r="H913" t="s">
        <v>1399</v>
      </c>
    </row>
    <row r="914" spans="1:8" x14ac:dyDescent="0.35">
      <c r="A914" t="s">
        <v>2312</v>
      </c>
      <c r="B914" t="s">
        <v>1280</v>
      </c>
      <c r="C914" t="s">
        <v>1394</v>
      </c>
      <c r="E914" s="2">
        <v>45410</v>
      </c>
      <c r="F914" s="2"/>
      <c r="H914" t="s">
        <v>1395</v>
      </c>
    </row>
    <row r="915" spans="1:8" x14ac:dyDescent="0.35">
      <c r="A915" t="s">
        <v>2313</v>
      </c>
      <c r="B915" t="s">
        <v>667</v>
      </c>
      <c r="C915" t="s">
        <v>1398</v>
      </c>
      <c r="D915">
        <v>15156.02</v>
      </c>
      <c r="E915" s="2">
        <v>45319</v>
      </c>
      <c r="F915" s="2">
        <v>45337</v>
      </c>
      <c r="G915">
        <v>18</v>
      </c>
      <c r="H915" t="s">
        <v>1399</v>
      </c>
    </row>
    <row r="916" spans="1:8" x14ac:dyDescent="0.35">
      <c r="A916" t="s">
        <v>2314</v>
      </c>
      <c r="B916" t="s">
        <v>941</v>
      </c>
      <c r="C916" t="s">
        <v>1401</v>
      </c>
      <c r="D916">
        <v>17394.25</v>
      </c>
      <c r="E916" s="2">
        <v>45105</v>
      </c>
      <c r="F916" s="2">
        <v>45155</v>
      </c>
      <c r="G916">
        <v>50</v>
      </c>
      <c r="H916" t="s">
        <v>1399</v>
      </c>
    </row>
    <row r="917" spans="1:8" x14ac:dyDescent="0.35">
      <c r="A917" t="s">
        <v>2315</v>
      </c>
      <c r="B917" t="s">
        <v>1276</v>
      </c>
      <c r="C917" t="s">
        <v>1394</v>
      </c>
      <c r="E917" s="2">
        <v>45166</v>
      </c>
      <c r="F917" s="2"/>
      <c r="H917" t="s">
        <v>1395</v>
      </c>
    </row>
    <row r="918" spans="1:8" x14ac:dyDescent="0.35">
      <c r="A918" t="s">
        <v>2316</v>
      </c>
      <c r="B918" t="s">
        <v>1067</v>
      </c>
      <c r="C918" t="s">
        <v>1401</v>
      </c>
      <c r="D918">
        <v>6782.1</v>
      </c>
      <c r="E918" s="2">
        <v>45319</v>
      </c>
      <c r="F918" s="2">
        <v>45338</v>
      </c>
      <c r="G918">
        <v>19</v>
      </c>
      <c r="H918" t="s">
        <v>1399</v>
      </c>
    </row>
    <row r="919" spans="1:8" x14ac:dyDescent="0.35">
      <c r="A919" t="s">
        <v>2317</v>
      </c>
      <c r="B919" t="s">
        <v>1203</v>
      </c>
      <c r="C919" t="s">
        <v>1398</v>
      </c>
      <c r="E919" s="2">
        <v>45013</v>
      </c>
      <c r="F919" s="2">
        <v>45018</v>
      </c>
      <c r="G919">
        <v>5</v>
      </c>
      <c r="H919" t="s">
        <v>1435</v>
      </c>
    </row>
    <row r="920" spans="1:8" x14ac:dyDescent="0.35">
      <c r="A920" t="s">
        <v>2318</v>
      </c>
      <c r="B920" t="s">
        <v>573</v>
      </c>
      <c r="C920" t="s">
        <v>1401</v>
      </c>
      <c r="D920">
        <v>9718.8799999999992</v>
      </c>
      <c r="E920" s="2">
        <v>44679</v>
      </c>
      <c r="F920" s="2">
        <v>44702</v>
      </c>
      <c r="G920">
        <v>23</v>
      </c>
      <c r="H920" t="s">
        <v>1399</v>
      </c>
    </row>
    <row r="921" spans="1:8" x14ac:dyDescent="0.35">
      <c r="A921" t="s">
        <v>2319</v>
      </c>
      <c r="B921" t="s">
        <v>486</v>
      </c>
      <c r="C921" t="s">
        <v>1394</v>
      </c>
      <c r="E921" s="2">
        <v>45227</v>
      </c>
      <c r="F921" s="2"/>
      <c r="H921" t="s">
        <v>1395</v>
      </c>
    </row>
    <row r="922" spans="1:8" x14ac:dyDescent="0.35">
      <c r="A922" t="s">
        <v>2320</v>
      </c>
      <c r="B922" t="s">
        <v>991</v>
      </c>
      <c r="C922" t="s">
        <v>1401</v>
      </c>
      <c r="D922">
        <v>25710.19</v>
      </c>
      <c r="E922" s="2">
        <v>45440</v>
      </c>
      <c r="F922" s="2">
        <v>45530</v>
      </c>
      <c r="G922">
        <v>90</v>
      </c>
      <c r="H922" t="s">
        <v>1399</v>
      </c>
    </row>
    <row r="923" spans="1:8" x14ac:dyDescent="0.35">
      <c r="A923" t="s">
        <v>2321</v>
      </c>
      <c r="B923" t="s">
        <v>1183</v>
      </c>
      <c r="C923" t="s">
        <v>1398</v>
      </c>
      <c r="E923" s="2">
        <v>44923</v>
      </c>
      <c r="F923" s="2"/>
      <c r="H923" t="s">
        <v>1416</v>
      </c>
    </row>
    <row r="924" spans="1:8" x14ac:dyDescent="0.35">
      <c r="A924" t="s">
        <v>2322</v>
      </c>
      <c r="B924" t="s">
        <v>994</v>
      </c>
      <c r="C924" t="s">
        <v>1401</v>
      </c>
      <c r="D924">
        <v>22532.69</v>
      </c>
      <c r="E924" s="2">
        <v>44648</v>
      </c>
      <c r="F924" s="2">
        <v>44683</v>
      </c>
      <c r="G924">
        <v>35</v>
      </c>
      <c r="H924" t="s">
        <v>1399</v>
      </c>
    </row>
    <row r="925" spans="1:8" x14ac:dyDescent="0.35">
      <c r="A925" t="s">
        <v>2323</v>
      </c>
      <c r="B925" t="s">
        <v>947</v>
      </c>
      <c r="C925" t="s">
        <v>1398</v>
      </c>
      <c r="D925">
        <v>14279.01</v>
      </c>
      <c r="E925" s="2">
        <v>45105</v>
      </c>
      <c r="F925" s="2">
        <v>45106</v>
      </c>
      <c r="G925">
        <v>1</v>
      </c>
      <c r="H925" t="s">
        <v>1399</v>
      </c>
    </row>
    <row r="926" spans="1:8" x14ac:dyDescent="0.35">
      <c r="A926" t="s">
        <v>2324</v>
      </c>
      <c r="B926" t="s">
        <v>1268</v>
      </c>
      <c r="C926" t="s">
        <v>1398</v>
      </c>
      <c r="D926">
        <v>14303.79</v>
      </c>
      <c r="E926" s="2">
        <v>45410</v>
      </c>
      <c r="F926" s="2">
        <v>45421</v>
      </c>
      <c r="G926">
        <v>11</v>
      </c>
      <c r="H926" t="s">
        <v>1399</v>
      </c>
    </row>
    <row r="927" spans="1:8" x14ac:dyDescent="0.35">
      <c r="A927" t="s">
        <v>2325</v>
      </c>
      <c r="B927" t="s">
        <v>840</v>
      </c>
      <c r="C927" t="s">
        <v>1398</v>
      </c>
      <c r="D927">
        <v>5176.51</v>
      </c>
      <c r="E927" s="2">
        <v>45105</v>
      </c>
      <c r="F927" s="2">
        <v>45181</v>
      </c>
      <c r="G927">
        <v>76</v>
      </c>
      <c r="H927" t="s">
        <v>1399</v>
      </c>
    </row>
    <row r="928" spans="1:8" x14ac:dyDescent="0.35">
      <c r="A928" t="s">
        <v>2326</v>
      </c>
      <c r="B928" t="s">
        <v>780</v>
      </c>
      <c r="C928" t="s">
        <v>1398</v>
      </c>
      <c r="E928" s="2">
        <v>45319</v>
      </c>
      <c r="F928" s="2"/>
      <c r="H928" t="s">
        <v>1416</v>
      </c>
    </row>
    <row r="929" spans="1:8" x14ac:dyDescent="0.35">
      <c r="A929" t="s">
        <v>2327</v>
      </c>
      <c r="B929" t="s">
        <v>388</v>
      </c>
      <c r="C929" t="s">
        <v>1401</v>
      </c>
      <c r="D929">
        <v>24284.78</v>
      </c>
      <c r="E929" s="2">
        <v>45532</v>
      </c>
      <c r="F929" s="2">
        <v>45544</v>
      </c>
      <c r="G929">
        <v>12</v>
      </c>
      <c r="H929" t="s">
        <v>1399</v>
      </c>
    </row>
    <row r="930" spans="1:8" x14ac:dyDescent="0.35">
      <c r="A930" t="s">
        <v>2328</v>
      </c>
      <c r="B930" t="s">
        <v>1105</v>
      </c>
      <c r="C930" t="s">
        <v>1401</v>
      </c>
      <c r="D930">
        <v>31933.98</v>
      </c>
      <c r="E930" s="2">
        <v>45501</v>
      </c>
      <c r="F930" s="2">
        <v>45516</v>
      </c>
      <c r="G930">
        <v>15</v>
      </c>
      <c r="H930" t="s">
        <v>1399</v>
      </c>
    </row>
    <row r="931" spans="1:8" x14ac:dyDescent="0.35">
      <c r="A931" t="s">
        <v>2329</v>
      </c>
      <c r="B931" t="s">
        <v>506</v>
      </c>
      <c r="C931" t="s">
        <v>1398</v>
      </c>
      <c r="D931">
        <v>16209.21</v>
      </c>
      <c r="E931" s="2">
        <v>44954</v>
      </c>
      <c r="F931" s="2">
        <v>44959</v>
      </c>
      <c r="G931">
        <v>5</v>
      </c>
      <c r="H931" t="s">
        <v>1399</v>
      </c>
    </row>
    <row r="932" spans="1:8" x14ac:dyDescent="0.35">
      <c r="A932" t="s">
        <v>2330</v>
      </c>
      <c r="B932" t="s">
        <v>1025</v>
      </c>
      <c r="C932" t="s">
        <v>1398</v>
      </c>
      <c r="D932">
        <v>15949.45</v>
      </c>
      <c r="E932" s="2">
        <v>45350</v>
      </c>
      <c r="F932" s="2">
        <v>45357</v>
      </c>
      <c r="G932">
        <v>7</v>
      </c>
      <c r="H932" t="s">
        <v>1399</v>
      </c>
    </row>
    <row r="933" spans="1:8" x14ac:dyDescent="0.35">
      <c r="A933" t="s">
        <v>2331</v>
      </c>
      <c r="B933" t="s">
        <v>757</v>
      </c>
      <c r="C933" t="s">
        <v>1394</v>
      </c>
      <c r="E933" s="2">
        <v>45593</v>
      </c>
      <c r="F933" s="2"/>
      <c r="H933" t="s">
        <v>1395</v>
      </c>
    </row>
    <row r="934" spans="1:8" x14ac:dyDescent="0.35">
      <c r="A934" t="s">
        <v>2332</v>
      </c>
      <c r="B934" t="s">
        <v>878</v>
      </c>
      <c r="C934" t="s">
        <v>1398</v>
      </c>
      <c r="D934">
        <v>11643.35</v>
      </c>
      <c r="E934" s="2">
        <v>45471</v>
      </c>
      <c r="F934" s="2">
        <v>45477</v>
      </c>
      <c r="G934">
        <v>6</v>
      </c>
      <c r="H934" t="s">
        <v>1399</v>
      </c>
    </row>
    <row r="935" spans="1:8" x14ac:dyDescent="0.35">
      <c r="A935" t="s">
        <v>2333</v>
      </c>
      <c r="B935" t="s">
        <v>976</v>
      </c>
      <c r="C935" t="s">
        <v>1398</v>
      </c>
      <c r="D935">
        <v>18552.95</v>
      </c>
      <c r="E935" s="2">
        <v>45074</v>
      </c>
      <c r="F935" s="2">
        <v>45121</v>
      </c>
      <c r="G935">
        <v>47</v>
      </c>
      <c r="H935" t="s">
        <v>1399</v>
      </c>
    </row>
    <row r="936" spans="1:8" x14ac:dyDescent="0.35">
      <c r="A936" t="s">
        <v>2334</v>
      </c>
      <c r="B936" t="s">
        <v>1332</v>
      </c>
      <c r="C936" t="s">
        <v>1401</v>
      </c>
      <c r="D936">
        <v>34339.21</v>
      </c>
      <c r="E936" s="2">
        <v>44679</v>
      </c>
      <c r="F936" s="2">
        <v>44757</v>
      </c>
      <c r="G936">
        <v>78</v>
      </c>
      <c r="H936" t="s">
        <v>1399</v>
      </c>
    </row>
    <row r="937" spans="1:8" x14ac:dyDescent="0.35">
      <c r="A937" t="s">
        <v>2335</v>
      </c>
      <c r="B937" t="s">
        <v>849</v>
      </c>
      <c r="C937" t="s">
        <v>1394</v>
      </c>
      <c r="E937" s="2">
        <v>45135</v>
      </c>
      <c r="F937" s="2"/>
      <c r="H937" t="s">
        <v>1395</v>
      </c>
    </row>
    <row r="938" spans="1:8" x14ac:dyDescent="0.35">
      <c r="A938" t="s">
        <v>2336</v>
      </c>
      <c r="B938" t="s">
        <v>937</v>
      </c>
      <c r="C938" t="s">
        <v>1398</v>
      </c>
      <c r="D938">
        <v>3695.56</v>
      </c>
      <c r="E938" s="2">
        <v>45501</v>
      </c>
      <c r="F938" s="2">
        <v>45583</v>
      </c>
      <c r="G938">
        <v>82</v>
      </c>
      <c r="H938" t="s">
        <v>1399</v>
      </c>
    </row>
    <row r="939" spans="1:8" x14ac:dyDescent="0.35">
      <c r="A939" t="s">
        <v>2337</v>
      </c>
      <c r="B939" t="s">
        <v>454</v>
      </c>
      <c r="C939" t="s">
        <v>1401</v>
      </c>
      <c r="D939">
        <v>31166.12</v>
      </c>
      <c r="E939" s="2">
        <v>44985</v>
      </c>
      <c r="F939" s="2">
        <v>44992</v>
      </c>
      <c r="G939">
        <v>7</v>
      </c>
      <c r="H939" t="s">
        <v>1399</v>
      </c>
    </row>
    <row r="940" spans="1:8" x14ac:dyDescent="0.35">
      <c r="A940" t="s">
        <v>2338</v>
      </c>
      <c r="B940" t="s">
        <v>1370</v>
      </c>
      <c r="C940" t="s">
        <v>1401</v>
      </c>
      <c r="D940">
        <v>24474.880000000001</v>
      </c>
      <c r="E940" s="2">
        <v>44923</v>
      </c>
      <c r="F940" s="2">
        <v>44925</v>
      </c>
      <c r="G940">
        <v>2</v>
      </c>
      <c r="H940" t="s">
        <v>1399</v>
      </c>
    </row>
    <row r="941" spans="1:8" x14ac:dyDescent="0.35">
      <c r="A941" t="s">
        <v>2339</v>
      </c>
      <c r="B941" t="s">
        <v>903</v>
      </c>
      <c r="C941" t="s">
        <v>1398</v>
      </c>
      <c r="D941">
        <v>13400.3</v>
      </c>
      <c r="E941" s="2">
        <v>45501</v>
      </c>
      <c r="F941" s="2"/>
      <c r="H941" t="s">
        <v>1416</v>
      </c>
    </row>
    <row r="942" spans="1:8" x14ac:dyDescent="0.35">
      <c r="A942" t="s">
        <v>2340</v>
      </c>
      <c r="B942" t="s">
        <v>1197</v>
      </c>
      <c r="C942" t="s">
        <v>1394</v>
      </c>
      <c r="E942" s="2">
        <v>44648</v>
      </c>
      <c r="F942" s="2"/>
      <c r="H942" t="s">
        <v>1395</v>
      </c>
    </row>
    <row r="943" spans="1:8" x14ac:dyDescent="0.35">
      <c r="A943" t="s">
        <v>2341</v>
      </c>
      <c r="B943" t="s">
        <v>398</v>
      </c>
      <c r="C943" t="s">
        <v>1401</v>
      </c>
      <c r="D943">
        <v>35972.85</v>
      </c>
      <c r="E943" s="2">
        <v>45258</v>
      </c>
      <c r="F943" s="2">
        <v>45288</v>
      </c>
      <c r="G943">
        <v>30</v>
      </c>
      <c r="H943" t="s">
        <v>1399</v>
      </c>
    </row>
    <row r="944" spans="1:8" x14ac:dyDescent="0.35">
      <c r="A944" t="s">
        <v>2342</v>
      </c>
      <c r="B944" t="s">
        <v>565</v>
      </c>
      <c r="C944" t="s">
        <v>1401</v>
      </c>
      <c r="D944">
        <v>36112.6</v>
      </c>
      <c r="E944" s="2">
        <v>44589</v>
      </c>
      <c r="F944" s="2">
        <v>44600</v>
      </c>
      <c r="G944">
        <v>11</v>
      </c>
      <c r="H944" t="s">
        <v>1399</v>
      </c>
    </row>
    <row r="945" spans="1:8" x14ac:dyDescent="0.35">
      <c r="A945" t="s">
        <v>2343</v>
      </c>
      <c r="B945" t="s">
        <v>612</v>
      </c>
      <c r="C945" t="s">
        <v>1401</v>
      </c>
      <c r="D945">
        <v>35061.21</v>
      </c>
      <c r="E945" s="2">
        <v>45319</v>
      </c>
      <c r="F945" s="2">
        <v>45359</v>
      </c>
      <c r="G945">
        <v>40</v>
      </c>
      <c r="H945" t="s">
        <v>1399</v>
      </c>
    </row>
    <row r="946" spans="1:8" x14ac:dyDescent="0.35">
      <c r="A946" t="s">
        <v>2344</v>
      </c>
      <c r="B946" t="s">
        <v>1363</v>
      </c>
      <c r="C946" t="s">
        <v>1394</v>
      </c>
      <c r="E946" s="2">
        <v>45350</v>
      </c>
      <c r="F946" s="2"/>
      <c r="H946" t="s">
        <v>1395</v>
      </c>
    </row>
    <row r="947" spans="1:8" x14ac:dyDescent="0.35">
      <c r="A947" t="s">
        <v>2345</v>
      </c>
      <c r="B947" t="s">
        <v>385</v>
      </c>
      <c r="C947" t="s">
        <v>1401</v>
      </c>
      <c r="D947">
        <v>14976.26</v>
      </c>
      <c r="E947" s="2">
        <v>45501</v>
      </c>
      <c r="F947" s="2">
        <v>45510</v>
      </c>
      <c r="G947">
        <v>9</v>
      </c>
      <c r="H947" t="s">
        <v>1399</v>
      </c>
    </row>
    <row r="948" spans="1:8" x14ac:dyDescent="0.35">
      <c r="A948" t="s">
        <v>2346</v>
      </c>
      <c r="B948" t="s">
        <v>560</v>
      </c>
      <c r="C948" t="s">
        <v>1401</v>
      </c>
      <c r="D948">
        <v>33598.85</v>
      </c>
      <c r="E948" s="2">
        <v>45379</v>
      </c>
      <c r="F948" s="2">
        <v>45392</v>
      </c>
      <c r="G948">
        <v>13</v>
      </c>
      <c r="H948" t="s">
        <v>1399</v>
      </c>
    </row>
    <row r="949" spans="1:8" x14ac:dyDescent="0.35">
      <c r="A949" t="s">
        <v>2347</v>
      </c>
      <c r="B949" t="s">
        <v>980</v>
      </c>
      <c r="C949" t="s">
        <v>1398</v>
      </c>
      <c r="D949">
        <v>6446.69</v>
      </c>
      <c r="E949" s="2">
        <v>44770</v>
      </c>
      <c r="F949" s="2">
        <v>44775</v>
      </c>
      <c r="G949">
        <v>5</v>
      </c>
      <c r="H949" t="s">
        <v>1399</v>
      </c>
    </row>
    <row r="950" spans="1:8" x14ac:dyDescent="0.35">
      <c r="A950" t="s">
        <v>2348</v>
      </c>
      <c r="B950" t="s">
        <v>1266</v>
      </c>
      <c r="C950" t="s">
        <v>1398</v>
      </c>
      <c r="D950">
        <v>7458.21</v>
      </c>
      <c r="E950" s="2">
        <v>44801</v>
      </c>
      <c r="F950" s="2"/>
      <c r="H950" t="s">
        <v>1416</v>
      </c>
    </row>
    <row r="951" spans="1:8" x14ac:dyDescent="0.35">
      <c r="A951" t="s">
        <v>2349</v>
      </c>
      <c r="B951" t="s">
        <v>837</v>
      </c>
      <c r="C951" t="s">
        <v>1401</v>
      </c>
      <c r="D951">
        <v>39833.71</v>
      </c>
      <c r="E951" s="2">
        <v>44923</v>
      </c>
      <c r="F951" s="2">
        <v>44923</v>
      </c>
      <c r="G951">
        <v>0</v>
      </c>
      <c r="H951" t="s">
        <v>1399</v>
      </c>
    </row>
    <row r="952" spans="1:8" x14ac:dyDescent="0.35">
      <c r="A952" t="s">
        <v>2350</v>
      </c>
      <c r="B952" t="s">
        <v>1299</v>
      </c>
      <c r="C952" t="s">
        <v>1398</v>
      </c>
      <c r="D952">
        <v>12793.5</v>
      </c>
      <c r="E952" s="2">
        <v>44740</v>
      </c>
      <c r="F952" s="2">
        <v>44744</v>
      </c>
      <c r="G952">
        <v>4</v>
      </c>
      <c r="H952" t="s">
        <v>1399</v>
      </c>
    </row>
    <row r="953" spans="1:8" x14ac:dyDescent="0.35">
      <c r="A953" t="s">
        <v>2351</v>
      </c>
      <c r="B953" t="s">
        <v>406</v>
      </c>
      <c r="C953" t="s">
        <v>1398</v>
      </c>
      <c r="E953" s="2">
        <v>44770</v>
      </c>
      <c r="F953" s="2">
        <v>44848</v>
      </c>
      <c r="G953">
        <v>78</v>
      </c>
      <c r="H953" t="s">
        <v>1435</v>
      </c>
    </row>
    <row r="954" spans="1:8" x14ac:dyDescent="0.35">
      <c r="A954" t="s">
        <v>2352</v>
      </c>
      <c r="B954" t="s">
        <v>1244</v>
      </c>
      <c r="C954" t="s">
        <v>1398</v>
      </c>
      <c r="D954">
        <v>12569.15</v>
      </c>
      <c r="E954" s="2">
        <v>44801</v>
      </c>
      <c r="F954" s="2">
        <v>44886</v>
      </c>
      <c r="G954">
        <v>85</v>
      </c>
      <c r="H954" t="s">
        <v>1399</v>
      </c>
    </row>
    <row r="955" spans="1:8" x14ac:dyDescent="0.35">
      <c r="A955" t="s">
        <v>2353</v>
      </c>
      <c r="B955" t="s">
        <v>686</v>
      </c>
      <c r="C955" t="s">
        <v>1401</v>
      </c>
      <c r="D955">
        <v>12046.29</v>
      </c>
      <c r="E955" s="2">
        <v>45227</v>
      </c>
      <c r="F955" s="2">
        <v>45235</v>
      </c>
      <c r="G955">
        <v>8</v>
      </c>
      <c r="H955" t="s">
        <v>1399</v>
      </c>
    </row>
    <row r="956" spans="1:8" x14ac:dyDescent="0.35">
      <c r="A956" t="s">
        <v>2354</v>
      </c>
      <c r="B956" t="s">
        <v>752</v>
      </c>
      <c r="C956" t="s">
        <v>1401</v>
      </c>
      <c r="D956">
        <v>12942.83</v>
      </c>
      <c r="E956" s="2">
        <v>44801</v>
      </c>
      <c r="F956" s="2">
        <v>44859</v>
      </c>
      <c r="G956">
        <v>58</v>
      </c>
      <c r="H956" t="s">
        <v>1399</v>
      </c>
    </row>
    <row r="957" spans="1:8" x14ac:dyDescent="0.35">
      <c r="A957" t="s">
        <v>2355</v>
      </c>
      <c r="B957" t="s">
        <v>1212</v>
      </c>
      <c r="C957" t="s">
        <v>1394</v>
      </c>
      <c r="E957" s="2">
        <v>45258</v>
      </c>
      <c r="F957" s="2"/>
      <c r="H957" t="s">
        <v>1395</v>
      </c>
    </row>
    <row r="958" spans="1:8" x14ac:dyDescent="0.35">
      <c r="A958" t="s">
        <v>2356</v>
      </c>
      <c r="B958" t="s">
        <v>716</v>
      </c>
      <c r="C958" t="s">
        <v>1394</v>
      </c>
      <c r="E958" s="2">
        <v>45563</v>
      </c>
      <c r="F958" s="2"/>
      <c r="H958" t="s">
        <v>1395</v>
      </c>
    </row>
    <row r="959" spans="1:8" x14ac:dyDescent="0.35">
      <c r="A959" t="s">
        <v>2357</v>
      </c>
      <c r="B959" t="s">
        <v>660</v>
      </c>
      <c r="C959" t="s">
        <v>1394</v>
      </c>
      <c r="E959" s="2">
        <v>45166</v>
      </c>
      <c r="F959" s="2"/>
      <c r="H959" t="s">
        <v>1395</v>
      </c>
    </row>
    <row r="960" spans="1:8" x14ac:dyDescent="0.35">
      <c r="A960" t="s">
        <v>2358</v>
      </c>
      <c r="B960" t="s">
        <v>1192</v>
      </c>
      <c r="C960" t="s">
        <v>1394</v>
      </c>
      <c r="E960" s="2">
        <v>45197</v>
      </c>
      <c r="F960" s="2"/>
      <c r="H960" t="s">
        <v>1395</v>
      </c>
    </row>
    <row r="961" spans="1:8" x14ac:dyDescent="0.35">
      <c r="A961" t="s">
        <v>2359</v>
      </c>
      <c r="B961" t="s">
        <v>1293</v>
      </c>
      <c r="C961" t="s">
        <v>1394</v>
      </c>
      <c r="E961" s="2">
        <v>44709</v>
      </c>
      <c r="F961" s="2"/>
      <c r="H961" t="s">
        <v>1395</v>
      </c>
    </row>
    <row r="962" spans="1:8" x14ac:dyDescent="0.35">
      <c r="A962" t="s">
        <v>2360</v>
      </c>
      <c r="B962" t="s">
        <v>443</v>
      </c>
      <c r="C962" t="s">
        <v>1398</v>
      </c>
      <c r="D962">
        <v>17107.57</v>
      </c>
      <c r="E962" s="2">
        <v>45319</v>
      </c>
      <c r="F962" s="2">
        <v>45328</v>
      </c>
      <c r="G962">
        <v>9</v>
      </c>
      <c r="H962" t="s">
        <v>1399</v>
      </c>
    </row>
    <row r="963" spans="1:8" x14ac:dyDescent="0.35">
      <c r="A963" t="s">
        <v>2361</v>
      </c>
      <c r="B963" t="s">
        <v>1083</v>
      </c>
      <c r="C963" t="s">
        <v>1394</v>
      </c>
      <c r="E963" s="2">
        <v>44954</v>
      </c>
      <c r="F963" s="2"/>
      <c r="H963" t="s">
        <v>1395</v>
      </c>
    </row>
    <row r="964" spans="1:8" x14ac:dyDescent="0.35">
      <c r="A964" t="s">
        <v>2362</v>
      </c>
      <c r="B964" t="s">
        <v>830</v>
      </c>
      <c r="C964" t="s">
        <v>1394</v>
      </c>
      <c r="E964" s="2">
        <v>45197</v>
      </c>
      <c r="F964" s="2"/>
      <c r="H964" t="s">
        <v>1395</v>
      </c>
    </row>
    <row r="965" spans="1:8" x14ac:dyDescent="0.35">
      <c r="A965" t="s">
        <v>2363</v>
      </c>
      <c r="B965" t="s">
        <v>641</v>
      </c>
      <c r="C965" t="s">
        <v>1394</v>
      </c>
      <c r="E965" s="2">
        <v>44648</v>
      </c>
      <c r="F965" s="2"/>
      <c r="H965" t="s">
        <v>1395</v>
      </c>
    </row>
    <row r="966" spans="1:8" x14ac:dyDescent="0.35">
      <c r="A966" t="s">
        <v>2364</v>
      </c>
      <c r="B966" t="s">
        <v>826</v>
      </c>
      <c r="C966" t="s">
        <v>1394</v>
      </c>
      <c r="E966" s="2">
        <v>45440</v>
      </c>
      <c r="F966" s="2"/>
      <c r="H966" t="s">
        <v>1395</v>
      </c>
    </row>
    <row r="967" spans="1:8" x14ac:dyDescent="0.35">
      <c r="A967" t="s">
        <v>2365</v>
      </c>
      <c r="B967" t="s">
        <v>1167</v>
      </c>
      <c r="C967" t="s">
        <v>1398</v>
      </c>
      <c r="D967">
        <v>13000.11</v>
      </c>
      <c r="E967" s="2">
        <v>45563</v>
      </c>
      <c r="F967" s="2">
        <v>45578</v>
      </c>
      <c r="G967">
        <v>15</v>
      </c>
      <c r="H967" t="s">
        <v>1399</v>
      </c>
    </row>
    <row r="968" spans="1:8" x14ac:dyDescent="0.35">
      <c r="A968" t="s">
        <v>2366</v>
      </c>
      <c r="B968" t="s">
        <v>549</v>
      </c>
      <c r="C968" t="s">
        <v>1401</v>
      </c>
      <c r="D968">
        <v>27601.02</v>
      </c>
      <c r="E968" s="2">
        <v>45624</v>
      </c>
      <c r="F968" s="2">
        <v>45684</v>
      </c>
      <c r="G968">
        <v>60</v>
      </c>
      <c r="H968" t="s">
        <v>1399</v>
      </c>
    </row>
    <row r="969" spans="1:8" x14ac:dyDescent="0.35">
      <c r="A969" t="s">
        <v>2367</v>
      </c>
      <c r="B969" t="s">
        <v>404</v>
      </c>
      <c r="C969" t="s">
        <v>1401</v>
      </c>
      <c r="D969">
        <v>37666.93</v>
      </c>
      <c r="E969" s="2">
        <v>45044</v>
      </c>
      <c r="F969" s="2">
        <v>45049</v>
      </c>
      <c r="G969">
        <v>5</v>
      </c>
      <c r="H969" t="s">
        <v>1399</v>
      </c>
    </row>
    <row r="970" spans="1:8" x14ac:dyDescent="0.35">
      <c r="A970" t="s">
        <v>2368</v>
      </c>
      <c r="B970" t="s">
        <v>943</v>
      </c>
      <c r="C970" t="s">
        <v>1398</v>
      </c>
      <c r="D970">
        <v>8349.85</v>
      </c>
      <c r="E970" s="2">
        <v>44740</v>
      </c>
      <c r="F970" s="2">
        <v>44827</v>
      </c>
      <c r="G970">
        <v>87</v>
      </c>
      <c r="H970" t="s">
        <v>1399</v>
      </c>
    </row>
    <row r="971" spans="1:8" x14ac:dyDescent="0.35">
      <c r="A971" t="s">
        <v>2369</v>
      </c>
      <c r="B971" t="s">
        <v>665</v>
      </c>
      <c r="C971" t="s">
        <v>1401</v>
      </c>
      <c r="D971">
        <v>28849.19</v>
      </c>
      <c r="E971" s="2">
        <v>45044</v>
      </c>
      <c r="F971" s="2">
        <v>45053</v>
      </c>
      <c r="G971">
        <v>9</v>
      </c>
      <c r="H971" t="s">
        <v>1399</v>
      </c>
    </row>
    <row r="972" spans="1:8" x14ac:dyDescent="0.35">
      <c r="A972" t="s">
        <v>2370</v>
      </c>
      <c r="B972" t="s">
        <v>503</v>
      </c>
      <c r="C972" t="s">
        <v>1401</v>
      </c>
      <c r="D972">
        <v>21834.91</v>
      </c>
      <c r="E972" s="2">
        <v>45013</v>
      </c>
      <c r="F972" s="2">
        <v>45019</v>
      </c>
      <c r="G972">
        <v>6</v>
      </c>
      <c r="H972" t="s">
        <v>1399</v>
      </c>
    </row>
    <row r="973" spans="1:8" x14ac:dyDescent="0.35">
      <c r="A973" t="s">
        <v>2371</v>
      </c>
      <c r="B973" t="s">
        <v>1336</v>
      </c>
      <c r="C973" t="s">
        <v>1394</v>
      </c>
      <c r="E973" s="2">
        <v>44740</v>
      </c>
      <c r="F973" s="2"/>
      <c r="H973" t="s">
        <v>1395</v>
      </c>
    </row>
    <row r="974" spans="1:8" x14ac:dyDescent="0.35">
      <c r="A974" t="s">
        <v>2372</v>
      </c>
      <c r="B974" t="s">
        <v>846</v>
      </c>
      <c r="C974" t="s">
        <v>1394</v>
      </c>
      <c r="E974" s="2">
        <v>45532</v>
      </c>
      <c r="F974" s="2"/>
      <c r="H974" t="s">
        <v>1395</v>
      </c>
    </row>
    <row r="975" spans="1:8" x14ac:dyDescent="0.35">
      <c r="A975" t="s">
        <v>2373</v>
      </c>
      <c r="B975" t="s">
        <v>424</v>
      </c>
      <c r="C975" t="s">
        <v>1398</v>
      </c>
      <c r="D975">
        <v>2367.12</v>
      </c>
      <c r="E975" s="2">
        <v>44954</v>
      </c>
      <c r="F975" s="2">
        <v>44957</v>
      </c>
      <c r="G975">
        <v>3</v>
      </c>
      <c r="H975" t="s">
        <v>1399</v>
      </c>
    </row>
    <row r="976" spans="1:8" x14ac:dyDescent="0.35">
      <c r="A976" t="s">
        <v>2374</v>
      </c>
      <c r="B976" t="s">
        <v>1286</v>
      </c>
      <c r="C976" t="s">
        <v>1398</v>
      </c>
      <c r="D976">
        <v>15440.75</v>
      </c>
      <c r="E976" s="2">
        <v>45074</v>
      </c>
      <c r="F976" s="2">
        <v>45119</v>
      </c>
      <c r="G976">
        <v>45</v>
      </c>
      <c r="H976" t="s">
        <v>1399</v>
      </c>
    </row>
    <row r="977" spans="1:8" x14ac:dyDescent="0.35">
      <c r="A977" t="s">
        <v>2375</v>
      </c>
      <c r="B977" t="s">
        <v>1339</v>
      </c>
      <c r="C977" t="s">
        <v>1398</v>
      </c>
      <c r="D977">
        <v>4593.96</v>
      </c>
      <c r="E977" s="2">
        <v>44648</v>
      </c>
      <c r="F977" s="2">
        <v>44682</v>
      </c>
      <c r="G977">
        <v>34</v>
      </c>
      <c r="H977" t="s">
        <v>1399</v>
      </c>
    </row>
    <row r="978" spans="1:8" x14ac:dyDescent="0.35">
      <c r="A978" t="s">
        <v>2376</v>
      </c>
      <c r="B978" t="s">
        <v>1000</v>
      </c>
      <c r="C978" t="s">
        <v>1394</v>
      </c>
      <c r="E978" s="2">
        <v>45319</v>
      </c>
      <c r="F978" s="2"/>
      <c r="H978" t="s">
        <v>1395</v>
      </c>
    </row>
    <row r="979" spans="1:8" x14ac:dyDescent="0.35">
      <c r="A979" t="s">
        <v>2377</v>
      </c>
      <c r="B979" t="s">
        <v>1267</v>
      </c>
      <c r="C979" t="s">
        <v>1401</v>
      </c>
      <c r="D979">
        <v>17517.87</v>
      </c>
      <c r="E979" s="2">
        <v>45440</v>
      </c>
      <c r="F979" s="2">
        <v>45482</v>
      </c>
      <c r="G979">
        <v>42</v>
      </c>
      <c r="H979" t="s">
        <v>1399</v>
      </c>
    </row>
    <row r="980" spans="1:8" x14ac:dyDescent="0.35">
      <c r="A980" t="s">
        <v>2378</v>
      </c>
      <c r="B980" t="s">
        <v>977</v>
      </c>
      <c r="C980" t="s">
        <v>1401</v>
      </c>
      <c r="D980">
        <v>5660.59</v>
      </c>
      <c r="E980" s="2">
        <v>44740</v>
      </c>
      <c r="F980" s="2">
        <v>44748</v>
      </c>
      <c r="G980">
        <v>8</v>
      </c>
      <c r="H980" t="s">
        <v>1399</v>
      </c>
    </row>
    <row r="981" spans="1:8" x14ac:dyDescent="0.35">
      <c r="A981" t="s">
        <v>2379</v>
      </c>
      <c r="B981" t="s">
        <v>767</v>
      </c>
      <c r="C981" t="s">
        <v>1394</v>
      </c>
      <c r="E981" s="2">
        <v>44648</v>
      </c>
      <c r="F981" s="2"/>
      <c r="H981" t="s">
        <v>1395</v>
      </c>
    </row>
    <row r="982" spans="1:8" x14ac:dyDescent="0.35">
      <c r="A982" t="s">
        <v>2380</v>
      </c>
      <c r="B982" t="s">
        <v>529</v>
      </c>
      <c r="C982" t="s">
        <v>1394</v>
      </c>
      <c r="E982" s="2">
        <v>44862</v>
      </c>
      <c r="F982" s="2"/>
      <c r="H982" t="s">
        <v>1395</v>
      </c>
    </row>
    <row r="983" spans="1:8" x14ac:dyDescent="0.35">
      <c r="A983" t="s">
        <v>2381</v>
      </c>
      <c r="B983" t="s">
        <v>1364</v>
      </c>
      <c r="C983" t="s">
        <v>1394</v>
      </c>
      <c r="E983" s="2">
        <v>45593</v>
      </c>
      <c r="F983" s="2"/>
      <c r="H983" t="s">
        <v>1395</v>
      </c>
    </row>
    <row r="984" spans="1:8" x14ac:dyDescent="0.35">
      <c r="A984" t="s">
        <v>2382</v>
      </c>
      <c r="B984" t="s">
        <v>1024</v>
      </c>
      <c r="C984" t="s">
        <v>1401</v>
      </c>
      <c r="D984">
        <v>34689.160000000003</v>
      </c>
      <c r="E984" s="2">
        <v>45319</v>
      </c>
      <c r="F984" s="2">
        <v>45348</v>
      </c>
      <c r="G984">
        <v>29</v>
      </c>
      <c r="H984" t="s">
        <v>1399</v>
      </c>
    </row>
    <row r="985" spans="1:8" x14ac:dyDescent="0.35">
      <c r="A985" t="s">
        <v>2383</v>
      </c>
      <c r="B985" t="s">
        <v>698</v>
      </c>
      <c r="C985" t="s">
        <v>1394</v>
      </c>
      <c r="E985" s="2">
        <v>44589</v>
      </c>
      <c r="F985" s="2"/>
      <c r="H985" t="s">
        <v>1395</v>
      </c>
    </row>
    <row r="986" spans="1:8" x14ac:dyDescent="0.35">
      <c r="A986" t="s">
        <v>2384</v>
      </c>
      <c r="B986" t="s">
        <v>1377</v>
      </c>
      <c r="C986" t="s">
        <v>1394</v>
      </c>
      <c r="E986" s="2">
        <v>44740</v>
      </c>
      <c r="F986" s="2"/>
      <c r="H986" t="s">
        <v>1395</v>
      </c>
    </row>
    <row r="987" spans="1:8" x14ac:dyDescent="0.35">
      <c r="A987" t="s">
        <v>2385</v>
      </c>
      <c r="B987" t="s">
        <v>495</v>
      </c>
      <c r="C987" t="s">
        <v>1394</v>
      </c>
      <c r="E987" s="2">
        <v>45532</v>
      </c>
      <c r="F987" s="2"/>
      <c r="H987" t="s">
        <v>1395</v>
      </c>
    </row>
    <row r="988" spans="1:8" x14ac:dyDescent="0.35">
      <c r="A988" t="s">
        <v>2386</v>
      </c>
      <c r="B988" t="s">
        <v>1009</v>
      </c>
      <c r="C988" t="s">
        <v>1394</v>
      </c>
      <c r="E988" s="2">
        <v>45563</v>
      </c>
      <c r="F988" s="2"/>
      <c r="H988" t="s">
        <v>1395</v>
      </c>
    </row>
    <row r="989" spans="1:8" x14ac:dyDescent="0.35">
      <c r="A989" t="s">
        <v>2387</v>
      </c>
      <c r="B989" t="s">
        <v>1136</v>
      </c>
      <c r="C989" t="s">
        <v>1398</v>
      </c>
      <c r="D989">
        <v>13989.68</v>
      </c>
      <c r="E989" s="2">
        <v>45288</v>
      </c>
      <c r="F989" s="2">
        <v>45320</v>
      </c>
      <c r="G989">
        <v>32</v>
      </c>
      <c r="H989" t="s">
        <v>1399</v>
      </c>
    </row>
    <row r="990" spans="1:8" x14ac:dyDescent="0.35">
      <c r="A990" t="s">
        <v>2388</v>
      </c>
      <c r="B990" t="s">
        <v>1040</v>
      </c>
      <c r="C990" t="s">
        <v>1394</v>
      </c>
      <c r="E990" s="2">
        <v>45501</v>
      </c>
      <c r="F990" s="2"/>
      <c r="H990" t="s">
        <v>1395</v>
      </c>
    </row>
    <row r="991" spans="1:8" x14ac:dyDescent="0.35">
      <c r="A991" t="s">
        <v>2389</v>
      </c>
      <c r="B991" t="s">
        <v>795</v>
      </c>
      <c r="C991" t="s">
        <v>1398</v>
      </c>
      <c r="D991">
        <v>626.23</v>
      </c>
      <c r="E991" s="2">
        <v>44832</v>
      </c>
      <c r="F991" s="2"/>
      <c r="H991" t="s">
        <v>1416</v>
      </c>
    </row>
    <row r="992" spans="1:8" x14ac:dyDescent="0.35">
      <c r="A992" t="s">
        <v>2390</v>
      </c>
      <c r="B992" t="s">
        <v>525</v>
      </c>
      <c r="C992" t="s">
        <v>1398</v>
      </c>
      <c r="D992">
        <v>433.4</v>
      </c>
      <c r="E992" s="2">
        <v>44589</v>
      </c>
      <c r="F992" s="2">
        <v>44596</v>
      </c>
      <c r="G992">
        <v>7</v>
      </c>
      <c r="H992" t="s">
        <v>1399</v>
      </c>
    </row>
    <row r="993" spans="1:8" x14ac:dyDescent="0.35">
      <c r="A993" t="s">
        <v>2391</v>
      </c>
      <c r="B993" t="s">
        <v>508</v>
      </c>
      <c r="C993" t="s">
        <v>1394</v>
      </c>
      <c r="E993" s="2">
        <v>44893</v>
      </c>
      <c r="F993" s="2"/>
      <c r="H993" t="s">
        <v>1395</v>
      </c>
    </row>
    <row r="994" spans="1:8" x14ac:dyDescent="0.35">
      <c r="A994" t="s">
        <v>2392</v>
      </c>
      <c r="B994" t="s">
        <v>847</v>
      </c>
      <c r="C994" t="s">
        <v>1394</v>
      </c>
      <c r="E994" s="2">
        <v>44679</v>
      </c>
      <c r="F994" s="2"/>
      <c r="H994" t="s">
        <v>1395</v>
      </c>
    </row>
    <row r="995" spans="1:8" x14ac:dyDescent="0.35">
      <c r="A995" t="s">
        <v>2393</v>
      </c>
      <c r="B995" t="s">
        <v>1074</v>
      </c>
      <c r="C995" t="s">
        <v>1394</v>
      </c>
      <c r="E995" s="2">
        <v>44923</v>
      </c>
      <c r="F995" s="2"/>
      <c r="H995" t="s">
        <v>1395</v>
      </c>
    </row>
    <row r="996" spans="1:8" x14ac:dyDescent="0.35">
      <c r="A996" t="s">
        <v>2394</v>
      </c>
      <c r="B996" t="s">
        <v>648</v>
      </c>
      <c r="C996" t="s">
        <v>1401</v>
      </c>
      <c r="D996">
        <v>3719.78</v>
      </c>
      <c r="E996" s="2">
        <v>44620</v>
      </c>
      <c r="F996" s="2">
        <v>44627</v>
      </c>
      <c r="G996">
        <v>7</v>
      </c>
      <c r="H996" t="s">
        <v>1399</v>
      </c>
    </row>
    <row r="997" spans="1:8" x14ac:dyDescent="0.35">
      <c r="A997" t="s">
        <v>2395</v>
      </c>
      <c r="B997" t="s">
        <v>1148</v>
      </c>
      <c r="C997" t="s">
        <v>1398</v>
      </c>
      <c r="E997" s="2">
        <v>44923</v>
      </c>
      <c r="F997" s="2"/>
      <c r="H997" t="s">
        <v>1416</v>
      </c>
    </row>
    <row r="998" spans="1:8" x14ac:dyDescent="0.35">
      <c r="A998" t="s">
        <v>2396</v>
      </c>
      <c r="B998" t="s">
        <v>800</v>
      </c>
      <c r="C998" t="s">
        <v>1398</v>
      </c>
      <c r="D998">
        <v>1109.1400000000001</v>
      </c>
      <c r="E998" s="2">
        <v>45258</v>
      </c>
      <c r="F998" s="2">
        <v>45270</v>
      </c>
      <c r="G998">
        <v>12</v>
      </c>
      <c r="H998" t="s">
        <v>1399</v>
      </c>
    </row>
    <row r="999" spans="1:8" x14ac:dyDescent="0.35">
      <c r="A999" t="s">
        <v>2397</v>
      </c>
      <c r="B999" t="s">
        <v>578</v>
      </c>
      <c r="C999" t="s">
        <v>1401</v>
      </c>
      <c r="D999">
        <v>9756.2900000000009</v>
      </c>
      <c r="E999" s="2">
        <v>44648</v>
      </c>
      <c r="F999" s="2">
        <v>44667</v>
      </c>
      <c r="G999">
        <v>19</v>
      </c>
      <c r="H999" t="s">
        <v>1399</v>
      </c>
    </row>
    <row r="1000" spans="1:8" x14ac:dyDescent="0.35">
      <c r="A1000" t="s">
        <v>2398</v>
      </c>
      <c r="B1000" t="s">
        <v>414</v>
      </c>
      <c r="C1000" t="s">
        <v>1394</v>
      </c>
      <c r="E1000" s="2">
        <v>45044</v>
      </c>
      <c r="F1000" s="2"/>
      <c r="H1000" t="s">
        <v>1395</v>
      </c>
    </row>
    <row r="1001" spans="1:8" x14ac:dyDescent="0.35">
      <c r="A1001" t="s">
        <v>2399</v>
      </c>
      <c r="B1001" t="s">
        <v>1097</v>
      </c>
      <c r="C1001" t="s">
        <v>1394</v>
      </c>
      <c r="E1001" s="2">
        <v>45258</v>
      </c>
      <c r="F1001" s="2"/>
      <c r="H1001" t="s">
        <v>1395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A60D-2104-4E8A-BD93-2B92ADB9F36A}">
  <dimension ref="A3:N62"/>
  <sheetViews>
    <sheetView topLeftCell="F31" zoomScaleNormal="100" workbookViewId="0">
      <selection activeCell="O53" sqref="O53"/>
    </sheetView>
  </sheetViews>
  <sheetFormatPr defaultRowHeight="14.5" x14ac:dyDescent="0.35"/>
  <cols>
    <col min="1" max="1" width="12.36328125" bestFit="1" customWidth="1"/>
    <col min="2" max="2" width="19.453125" bestFit="1" customWidth="1"/>
    <col min="3" max="4" width="14.453125" bestFit="1" customWidth="1"/>
    <col min="5" max="5" width="21.08984375" bestFit="1" customWidth="1"/>
    <col min="6" max="6" width="15.26953125" bestFit="1" customWidth="1"/>
    <col min="7" max="7" width="8.81640625" bestFit="1" customWidth="1"/>
    <col min="8" max="8" width="10" bestFit="1" customWidth="1"/>
    <col min="9" max="9" width="10.7265625" bestFit="1" customWidth="1"/>
    <col min="10" max="10" width="12.36328125" bestFit="1" customWidth="1"/>
    <col min="11" max="11" width="16.54296875" bestFit="1" customWidth="1"/>
    <col min="12" max="12" width="19.453125" bestFit="1" customWidth="1"/>
    <col min="13" max="13" width="18.54296875" bestFit="1" customWidth="1"/>
    <col min="14" max="14" width="18.7265625" bestFit="1" customWidth="1"/>
  </cols>
  <sheetData>
    <row r="3" spans="1:13" x14ac:dyDescent="0.35">
      <c r="A3" s="3" t="s">
        <v>2400</v>
      </c>
      <c r="B3" t="s">
        <v>2402</v>
      </c>
      <c r="E3" s="3" t="s">
        <v>2400</v>
      </c>
      <c r="F3" t="s">
        <v>2403</v>
      </c>
      <c r="K3" s="3" t="s">
        <v>2400</v>
      </c>
      <c r="L3" t="s">
        <v>2402</v>
      </c>
      <c r="M3" t="s">
        <v>2406</v>
      </c>
    </row>
    <row r="4" spans="1:13" x14ac:dyDescent="0.35">
      <c r="A4" s="4">
        <v>2022</v>
      </c>
      <c r="B4" s="1"/>
      <c r="E4" s="4" t="s">
        <v>20</v>
      </c>
      <c r="F4" s="1">
        <v>33642.15</v>
      </c>
      <c r="K4" s="4" t="s">
        <v>30</v>
      </c>
      <c r="L4" s="1">
        <v>1330676.6488999997</v>
      </c>
      <c r="M4" s="1">
        <v>1160122.6000000001</v>
      </c>
    </row>
    <row r="5" spans="1:13" x14ac:dyDescent="0.35">
      <c r="A5" s="5" t="s">
        <v>381</v>
      </c>
      <c r="B5" s="1">
        <v>228645.81289999993</v>
      </c>
      <c r="E5" s="4" t="s">
        <v>7</v>
      </c>
      <c r="F5" s="1">
        <v>33340.660000000003</v>
      </c>
      <c r="K5" s="4" t="s">
        <v>25</v>
      </c>
      <c r="L5" s="1">
        <v>1198637.8992999997</v>
      </c>
      <c r="M5" s="1">
        <v>1165577.2599999998</v>
      </c>
    </row>
    <row r="6" spans="1:13" x14ac:dyDescent="0.35">
      <c r="A6" s="5" t="s">
        <v>389</v>
      </c>
      <c r="B6" s="1">
        <v>312894.91539999994</v>
      </c>
      <c r="E6" s="4" t="s">
        <v>14</v>
      </c>
      <c r="F6" s="1">
        <v>32636.5</v>
      </c>
      <c r="K6" s="4" t="s">
        <v>7</v>
      </c>
      <c r="L6" s="1">
        <v>1541625.3764000004</v>
      </c>
      <c r="M6" s="1">
        <v>1301670.1900000002</v>
      </c>
    </row>
    <row r="7" spans="1:13" x14ac:dyDescent="0.35">
      <c r="A7" s="5" t="s">
        <v>391</v>
      </c>
      <c r="B7" s="1">
        <v>334867.36509999994</v>
      </c>
      <c r="E7" s="4" t="s">
        <v>34</v>
      </c>
      <c r="F7" s="1">
        <v>31714.55</v>
      </c>
      <c r="K7" s="4" t="s">
        <v>11</v>
      </c>
      <c r="L7" s="1">
        <v>1291486.9086</v>
      </c>
      <c r="M7" s="1">
        <v>894940.4800000001</v>
      </c>
    </row>
    <row r="8" spans="1:13" x14ac:dyDescent="0.35">
      <c r="A8" s="5" t="s">
        <v>394</v>
      </c>
      <c r="B8" s="1">
        <v>310435.13669999992</v>
      </c>
      <c r="E8" s="4" t="s">
        <v>51</v>
      </c>
      <c r="F8" s="1">
        <v>30653.26</v>
      </c>
      <c r="K8" s="4" t="s">
        <v>34</v>
      </c>
      <c r="L8" s="1">
        <v>1540127.3480999994</v>
      </c>
      <c r="M8" s="1">
        <v>1210948.1699999997</v>
      </c>
    </row>
    <row r="9" spans="1:13" x14ac:dyDescent="0.35">
      <c r="A9" s="5" t="s">
        <v>417</v>
      </c>
      <c r="B9" s="1">
        <v>267574.8235</v>
      </c>
      <c r="E9" s="4" t="s">
        <v>30</v>
      </c>
      <c r="F9" s="1">
        <v>30187.54</v>
      </c>
      <c r="K9" s="4" t="s">
        <v>20</v>
      </c>
      <c r="L9" s="1">
        <v>1708103.5521</v>
      </c>
      <c r="M9" s="1">
        <v>1161373.6100000001</v>
      </c>
    </row>
    <row r="10" spans="1:13" x14ac:dyDescent="0.35">
      <c r="A10" s="5" t="s">
        <v>379</v>
      </c>
      <c r="B10" s="1">
        <v>212400.4325</v>
      </c>
      <c r="E10" s="4" t="s">
        <v>11</v>
      </c>
      <c r="F10" s="1">
        <v>26999.83</v>
      </c>
      <c r="K10" s="4" t="s">
        <v>51</v>
      </c>
      <c r="L10" s="1">
        <v>1414670.9464000005</v>
      </c>
      <c r="M10" s="1">
        <v>1019605.54</v>
      </c>
    </row>
    <row r="11" spans="1:13" x14ac:dyDescent="0.35">
      <c r="A11" s="5" t="s">
        <v>375</v>
      </c>
      <c r="B11" s="1">
        <v>243330.48609999998</v>
      </c>
      <c r="E11" s="4" t="s">
        <v>25</v>
      </c>
      <c r="F11" s="1">
        <v>24627.81</v>
      </c>
      <c r="K11" s="4" t="s">
        <v>14</v>
      </c>
      <c r="L11" s="1">
        <v>1486423.2055000004</v>
      </c>
      <c r="M11" s="1">
        <v>1164791.55</v>
      </c>
    </row>
    <row r="12" spans="1:13" x14ac:dyDescent="0.35">
      <c r="A12" s="5" t="s">
        <v>377</v>
      </c>
      <c r="B12" s="1">
        <v>419283.35770000011</v>
      </c>
      <c r="E12" s="4" t="s">
        <v>2401</v>
      </c>
      <c r="F12" s="1">
        <v>243802.3</v>
      </c>
      <c r="K12" s="4" t="s">
        <v>2401</v>
      </c>
      <c r="L12" s="1">
        <v>11511751.885300016</v>
      </c>
      <c r="M12" s="1">
        <v>9079029.4000000004</v>
      </c>
    </row>
    <row r="13" spans="1:13" x14ac:dyDescent="0.35">
      <c r="A13" s="5" t="s">
        <v>403</v>
      </c>
      <c r="B13" s="1">
        <v>182240.87499999997</v>
      </c>
    </row>
    <row r="14" spans="1:13" x14ac:dyDescent="0.35">
      <c r="A14" s="5" t="s">
        <v>387</v>
      </c>
      <c r="B14" s="1">
        <v>313753.79929999996</v>
      </c>
    </row>
    <row r="15" spans="1:13" x14ac:dyDescent="0.35">
      <c r="A15" s="5" t="s">
        <v>371</v>
      </c>
      <c r="B15" s="1">
        <v>339692.70449999999</v>
      </c>
    </row>
    <row r="16" spans="1:13" x14ac:dyDescent="0.35">
      <c r="A16" s="5" t="s">
        <v>487</v>
      </c>
      <c r="B16" s="1">
        <v>294997.57789999992</v>
      </c>
    </row>
    <row r="17" spans="1:14" x14ac:dyDescent="0.35">
      <c r="A17" s="4">
        <v>2023</v>
      </c>
      <c r="B17" s="1"/>
      <c r="E17" s="3" t="s">
        <v>1387</v>
      </c>
      <c r="F17" t="s" vm="1">
        <v>2424</v>
      </c>
      <c r="L17" s="3" t="s">
        <v>2400</v>
      </c>
      <c r="M17" t="s">
        <v>2407</v>
      </c>
    </row>
    <row r="18" spans="1:14" x14ac:dyDescent="0.35">
      <c r="A18" s="5" t="s">
        <v>381</v>
      </c>
      <c r="B18" s="1">
        <v>195736.22450000001</v>
      </c>
      <c r="L18" s="4" t="s">
        <v>1401</v>
      </c>
      <c r="M18" s="1">
        <v>322</v>
      </c>
    </row>
    <row r="19" spans="1:14" x14ac:dyDescent="0.35">
      <c r="A19" s="5" t="s">
        <v>389</v>
      </c>
      <c r="B19" s="1">
        <v>256084.76179999998</v>
      </c>
      <c r="E19" s="3" t="s">
        <v>2404</v>
      </c>
      <c r="F19" s="3" t="s">
        <v>2405</v>
      </c>
      <c r="L19" s="4" t="s">
        <v>1398</v>
      </c>
      <c r="M19" s="1">
        <v>329</v>
      </c>
    </row>
    <row r="20" spans="1:14" x14ac:dyDescent="0.35">
      <c r="A20" s="5" t="s">
        <v>391</v>
      </c>
      <c r="B20" s="1">
        <v>245220.52160000004</v>
      </c>
      <c r="E20" s="3" t="s">
        <v>2400</v>
      </c>
      <c r="F20" t="s">
        <v>31</v>
      </c>
      <c r="G20" t="s">
        <v>17</v>
      </c>
      <c r="H20" t="s">
        <v>8</v>
      </c>
      <c r="I20" t="s">
        <v>2401</v>
      </c>
      <c r="L20" s="4" t="s">
        <v>1394</v>
      </c>
      <c r="M20" s="1">
        <v>349</v>
      </c>
    </row>
    <row r="21" spans="1:14" x14ac:dyDescent="0.35">
      <c r="A21" s="5" t="s">
        <v>394</v>
      </c>
      <c r="B21" s="1">
        <v>390798.32859999995</v>
      </c>
      <c r="E21" s="4" t="s">
        <v>25</v>
      </c>
      <c r="F21" s="6">
        <v>18.368421052631579</v>
      </c>
      <c r="G21" s="6">
        <v>27.111111111111111</v>
      </c>
      <c r="H21" s="6">
        <v>22.53846153846154</v>
      </c>
      <c r="I21" s="6">
        <v>22.587301587301589</v>
      </c>
      <c r="L21" s="4" t="s">
        <v>2401</v>
      </c>
      <c r="M21" s="1">
        <v>1000</v>
      </c>
    </row>
    <row r="22" spans="1:14" x14ac:dyDescent="0.35">
      <c r="A22" s="5" t="s">
        <v>417</v>
      </c>
      <c r="B22" s="1">
        <v>212980.05820000003</v>
      </c>
      <c r="E22" s="4" t="s">
        <v>7</v>
      </c>
      <c r="F22" s="6">
        <v>21.722222222222221</v>
      </c>
      <c r="G22" s="6">
        <v>15.2</v>
      </c>
      <c r="H22" s="6">
        <v>24.372549019607842</v>
      </c>
      <c r="I22" s="6">
        <v>23.108108108108109</v>
      </c>
    </row>
    <row r="23" spans="1:14" x14ac:dyDescent="0.35">
      <c r="A23" s="5" t="s">
        <v>379</v>
      </c>
      <c r="B23" s="1">
        <v>281476.83159999998</v>
      </c>
      <c r="E23" s="4" t="s">
        <v>11</v>
      </c>
      <c r="F23" s="6">
        <v>17.09090909090909</v>
      </c>
      <c r="G23" s="6">
        <v>18.954545454545453</v>
      </c>
      <c r="H23" s="6">
        <v>40.666666666666664</v>
      </c>
      <c r="I23" s="6">
        <v>21.046875</v>
      </c>
    </row>
    <row r="24" spans="1:14" x14ac:dyDescent="0.35">
      <c r="A24" s="5" t="s">
        <v>375</v>
      </c>
      <c r="B24" s="1">
        <v>349119.36580000003</v>
      </c>
      <c r="E24" s="4" t="s">
        <v>34</v>
      </c>
      <c r="F24" s="6">
        <v>13.333333333333334</v>
      </c>
      <c r="G24" s="6">
        <v>25.606060606060606</v>
      </c>
      <c r="H24" s="6">
        <v>19.90625</v>
      </c>
      <c r="I24" s="6">
        <v>21.324675324675326</v>
      </c>
    </row>
    <row r="25" spans="1:14" x14ac:dyDescent="0.35">
      <c r="A25" s="5" t="s">
        <v>377</v>
      </c>
      <c r="B25" s="1">
        <v>392097.18729999999</v>
      </c>
      <c r="E25" s="4" t="s">
        <v>20</v>
      </c>
      <c r="F25" s="6">
        <v>18.416666666666668</v>
      </c>
      <c r="G25" s="6">
        <v>17.195121951219512</v>
      </c>
      <c r="H25" s="6">
        <v>18.45</v>
      </c>
      <c r="I25" s="6">
        <v>17.739726027397261</v>
      </c>
    </row>
    <row r="26" spans="1:14" x14ac:dyDescent="0.35">
      <c r="A26" s="5" t="s">
        <v>403</v>
      </c>
      <c r="B26" s="1">
        <v>273080.54180000001</v>
      </c>
      <c r="E26" s="4" t="s">
        <v>51</v>
      </c>
      <c r="F26" s="6">
        <v>18.222222222222221</v>
      </c>
      <c r="G26" s="6">
        <v>21.227272727272727</v>
      </c>
      <c r="H26" s="6">
        <v>16.333333333333332</v>
      </c>
      <c r="I26" s="6">
        <v>18.447761194029852</v>
      </c>
    </row>
    <row r="27" spans="1:14" x14ac:dyDescent="0.35">
      <c r="A27" s="5" t="s">
        <v>387</v>
      </c>
      <c r="B27" s="1">
        <v>409655.62229999993</v>
      </c>
      <c r="E27" s="4" t="s">
        <v>14</v>
      </c>
      <c r="F27" s="6">
        <v>25.828571428571429</v>
      </c>
      <c r="G27" s="6">
        <v>17.071428571428573</v>
      </c>
      <c r="H27" s="6">
        <v>21.148148148148149</v>
      </c>
      <c r="I27" s="6">
        <v>22.55263157894737</v>
      </c>
      <c r="K27" t="s">
        <v>2408</v>
      </c>
      <c r="N27" s="3"/>
    </row>
    <row r="28" spans="1:14" x14ac:dyDescent="0.35">
      <c r="A28" s="5" t="s">
        <v>371</v>
      </c>
      <c r="B28" s="1">
        <v>297249.88150000002</v>
      </c>
      <c r="E28" s="4" t="s">
        <v>30</v>
      </c>
      <c r="F28" s="6">
        <v>14.315789473684211</v>
      </c>
      <c r="G28" s="6">
        <v>24.761904761904763</v>
      </c>
      <c r="H28" s="6">
        <v>17.428571428571427</v>
      </c>
      <c r="I28" s="6">
        <v>18.693333333333332</v>
      </c>
      <c r="K28" s="7">
        <v>11511751.885300016</v>
      </c>
    </row>
    <row r="29" spans="1:14" x14ac:dyDescent="0.35">
      <c r="A29" s="5" t="s">
        <v>487</v>
      </c>
      <c r="B29" s="1">
        <v>319158.46540000004</v>
      </c>
      <c r="E29" s="4" t="s">
        <v>2401</v>
      </c>
      <c r="F29" s="6">
        <v>19.210843373493976</v>
      </c>
      <c r="G29" s="6">
        <v>21.34659090909091</v>
      </c>
      <c r="H29" s="6">
        <v>21.246696035242291</v>
      </c>
      <c r="I29" s="6">
        <v>20.68365553602812</v>
      </c>
    </row>
    <row r="30" spans="1:14" x14ac:dyDescent="0.35">
      <c r="A30" s="4">
        <v>2024</v>
      </c>
      <c r="B30" s="1"/>
    </row>
    <row r="31" spans="1:14" x14ac:dyDescent="0.35">
      <c r="A31" s="5" t="s">
        <v>381</v>
      </c>
      <c r="B31" s="1">
        <v>348752.88239999989</v>
      </c>
    </row>
    <row r="32" spans="1:14" x14ac:dyDescent="0.35">
      <c r="A32" s="5" t="s">
        <v>389</v>
      </c>
      <c r="B32" s="1">
        <v>349737.6666</v>
      </c>
      <c r="K32" t="s">
        <v>2409</v>
      </c>
    </row>
    <row r="33" spans="1:14" x14ac:dyDescent="0.35">
      <c r="A33" s="5" t="s">
        <v>391</v>
      </c>
      <c r="B33" s="1">
        <v>452574.03500000009</v>
      </c>
      <c r="K33" s="7">
        <v>9079029.4000000004</v>
      </c>
    </row>
    <row r="34" spans="1:14" x14ac:dyDescent="0.35">
      <c r="A34" s="5" t="s">
        <v>394</v>
      </c>
      <c r="B34" s="1">
        <v>344623.21549999999</v>
      </c>
    </row>
    <row r="35" spans="1:14" x14ac:dyDescent="0.35">
      <c r="A35" s="5" t="s">
        <v>417</v>
      </c>
      <c r="B35" s="1">
        <v>350925.83849999995</v>
      </c>
    </row>
    <row r="36" spans="1:14" x14ac:dyDescent="0.35">
      <c r="A36" s="5" t="s">
        <v>379</v>
      </c>
      <c r="B36" s="1">
        <v>308970.07329999999</v>
      </c>
    </row>
    <row r="37" spans="1:14" x14ac:dyDescent="0.35">
      <c r="A37" s="5" t="s">
        <v>375</v>
      </c>
      <c r="B37" s="1">
        <v>469519.79119999998</v>
      </c>
    </row>
    <row r="38" spans="1:14" x14ac:dyDescent="0.35">
      <c r="A38" s="5" t="s">
        <v>377</v>
      </c>
      <c r="B38" s="1">
        <v>256131.82179999998</v>
      </c>
      <c r="E38" t="s">
        <v>2408</v>
      </c>
      <c r="F38" t="s">
        <v>2406</v>
      </c>
      <c r="I38" s="3" t="s">
        <v>2400</v>
      </c>
      <c r="J38" t="s">
        <v>2408</v>
      </c>
      <c r="K38" t="s">
        <v>2406</v>
      </c>
      <c r="L38" s="3"/>
      <c r="M38" s="3"/>
      <c r="N38" s="3"/>
    </row>
    <row r="39" spans="1:14" x14ac:dyDescent="0.35">
      <c r="A39" s="5" t="s">
        <v>403</v>
      </c>
      <c r="B39" s="1">
        <v>391813.19799999997</v>
      </c>
      <c r="E39" s="7">
        <v>11511751.885300016</v>
      </c>
      <c r="F39" s="7">
        <v>9079029.4000000004</v>
      </c>
      <c r="I39" s="4">
        <v>2022</v>
      </c>
      <c r="J39" s="7">
        <v>3460117.2865999979</v>
      </c>
      <c r="K39" s="7">
        <v>2722834.5400000014</v>
      </c>
    </row>
    <row r="40" spans="1:14" x14ac:dyDescent="0.35">
      <c r="A40" s="5" t="s">
        <v>387</v>
      </c>
      <c r="B40" s="1">
        <v>374065.83710000006</v>
      </c>
      <c r="I40" s="4">
        <v>2023</v>
      </c>
      <c r="J40" s="7">
        <v>3622657.7903999998</v>
      </c>
      <c r="K40" s="7">
        <v>2583104.11</v>
      </c>
    </row>
    <row r="41" spans="1:14" x14ac:dyDescent="0.35">
      <c r="A41" s="5" t="s">
        <v>371</v>
      </c>
      <c r="B41" s="1">
        <v>416073.84990000015</v>
      </c>
      <c r="I41" s="4">
        <v>2024</v>
      </c>
      <c r="J41" s="7">
        <v>4428976.8083000006</v>
      </c>
      <c r="K41" s="7">
        <v>3773090.7499999977</v>
      </c>
    </row>
    <row r="42" spans="1:14" x14ac:dyDescent="0.35">
      <c r="A42" s="5" t="s">
        <v>487</v>
      </c>
      <c r="B42" s="1">
        <v>365788.59899999999</v>
      </c>
      <c r="E42" s="10" t="s">
        <v>2410</v>
      </c>
      <c r="F42" s="10" t="s">
        <v>2411</v>
      </c>
      <c r="I42" s="4" t="s">
        <v>2401</v>
      </c>
      <c r="J42" s="7">
        <v>11511751.885300016</v>
      </c>
      <c r="K42" s="7">
        <v>9079029.4000000004</v>
      </c>
    </row>
    <row r="43" spans="1:14" x14ac:dyDescent="0.35">
      <c r="A43" s="4" t="s">
        <v>2401</v>
      </c>
      <c r="B43" s="1">
        <v>11511751.885300016</v>
      </c>
      <c r="E43" s="7">
        <f>E39-F39</f>
        <v>2432722.4853000157</v>
      </c>
      <c r="F43" s="8">
        <f>F39/E39</f>
        <v>0.78867486812267973</v>
      </c>
    </row>
    <row r="47" spans="1:14" x14ac:dyDescent="0.35">
      <c r="I47" s="3" t="s">
        <v>2400</v>
      </c>
      <c r="J47" t="s">
        <v>2408</v>
      </c>
      <c r="K47" t="s">
        <v>2425</v>
      </c>
      <c r="L47" s="10" t="s">
        <v>2410</v>
      </c>
      <c r="M47" s="10" t="s">
        <v>2419</v>
      </c>
      <c r="N47" s="3"/>
    </row>
    <row r="48" spans="1:14" x14ac:dyDescent="0.35">
      <c r="I48" s="13">
        <v>2022</v>
      </c>
      <c r="J48" s="16">
        <v>3460117.2865999979</v>
      </c>
      <c r="K48" s="16">
        <v>2722834.5400000014</v>
      </c>
      <c r="L48" s="16">
        <f>J48-K48</f>
        <v>737282.74659999646</v>
      </c>
      <c r="M48" s="19">
        <f>K48/J48</f>
        <v>0.78691972394829723</v>
      </c>
    </row>
    <row r="49" spans="1:13" x14ac:dyDescent="0.35">
      <c r="A49" s="11" t="s">
        <v>2423</v>
      </c>
      <c r="I49" s="14">
        <v>2023</v>
      </c>
      <c r="J49" s="15">
        <v>3622657.7903999998</v>
      </c>
      <c r="K49" s="15">
        <v>2583104.11</v>
      </c>
      <c r="L49" s="15">
        <f>J49-K49</f>
        <v>1039553.6804</v>
      </c>
      <c r="M49" s="20">
        <f>K49/J49</f>
        <v>0.71304115913051325</v>
      </c>
    </row>
    <row r="50" spans="1:13" x14ac:dyDescent="0.35">
      <c r="A50" t="s">
        <v>2412</v>
      </c>
      <c r="B50" t="s">
        <v>2413</v>
      </c>
      <c r="C50" t="s">
        <v>2414</v>
      </c>
      <c r="D50" t="s">
        <v>2415</v>
      </c>
      <c r="E50" t="s">
        <v>2416</v>
      </c>
      <c r="I50" s="17">
        <v>2024</v>
      </c>
      <c r="J50" s="18">
        <v>4428976.8083000006</v>
      </c>
      <c r="K50" s="18">
        <v>3773090.7499999977</v>
      </c>
      <c r="L50" s="18">
        <f>J50-K50</f>
        <v>655886.05830000294</v>
      </c>
      <c r="M50" s="21">
        <f>K50/J50</f>
        <v>0.85191025225716743</v>
      </c>
    </row>
    <row r="51" spans="1:13" x14ac:dyDescent="0.35">
      <c r="A51" t="s">
        <v>2408</v>
      </c>
      <c r="B51" s="7">
        <f>J42</f>
        <v>11511751.885300016</v>
      </c>
      <c r="C51" s="7">
        <f>J41</f>
        <v>4428976.8083000006</v>
      </c>
      <c r="D51" s="7">
        <f>J40</f>
        <v>3622657.7903999998</v>
      </c>
      <c r="E51" s="8">
        <f>(C51-D51)/D51</f>
        <v>0.22257664525662255</v>
      </c>
      <c r="F51" t="str">
        <f>IF(E51&gt;0,"🔼 ","🔽 ")&amp;TEXT(ABS(E51),"0%")&amp;" YoY"</f>
        <v>🔼 22% YoY</v>
      </c>
      <c r="I51" s="4" t="s">
        <v>2401</v>
      </c>
      <c r="J51" s="7">
        <v>11511751.885300016</v>
      </c>
      <c r="K51" s="7">
        <v>9079029.4000000004</v>
      </c>
      <c r="L51" s="16">
        <f>J51-K51</f>
        <v>2432722.4853000157</v>
      </c>
      <c r="M51" s="19">
        <f>K51/J51</f>
        <v>0.78867486812267973</v>
      </c>
    </row>
    <row r="52" spans="1:13" x14ac:dyDescent="0.35">
      <c r="A52" t="s">
        <v>2417</v>
      </c>
      <c r="B52" s="7">
        <f>K42</f>
        <v>9079029.4000000004</v>
      </c>
      <c r="C52" s="7">
        <f>K41</f>
        <v>3773090.7499999977</v>
      </c>
      <c r="D52" s="7">
        <f>K40</f>
        <v>2583104.11</v>
      </c>
      <c r="E52" s="8">
        <f>(C52-D52)/D52</f>
        <v>0.46068086663374858</v>
      </c>
      <c r="F52" t="str">
        <f>IF(E52&gt;0,"🔼 ","🔽 ")&amp;TEXT(ABS(E52),"0%")&amp;" YoY"</f>
        <v>🔼 46% YoY</v>
      </c>
    </row>
    <row r="53" spans="1:13" x14ac:dyDescent="0.35">
      <c r="A53" t="s">
        <v>2418</v>
      </c>
      <c r="B53" s="7">
        <f>L51</f>
        <v>2432722.4853000157</v>
      </c>
      <c r="C53" s="7">
        <f>L50</f>
        <v>655886.05830000294</v>
      </c>
      <c r="D53" s="7">
        <f>L49</f>
        <v>1039553.6804</v>
      </c>
      <c r="E53" s="8">
        <f>(C53-D53)/D53</f>
        <v>-0.36906956257647916</v>
      </c>
      <c r="F53" t="str">
        <f>IF(E53&gt;0,"🔼 ","🔽 ")&amp;TEXT(ABS(E53),"0%")&amp;" YoY"</f>
        <v>🔽 37% YoY</v>
      </c>
    </row>
    <row r="54" spans="1:13" x14ac:dyDescent="0.35">
      <c r="A54" t="s">
        <v>2420</v>
      </c>
      <c r="B54" s="9">
        <f>M51</f>
        <v>0.78867486812267973</v>
      </c>
      <c r="C54" s="9">
        <f>M50</f>
        <v>0.85191025225716743</v>
      </c>
      <c r="D54" s="9">
        <f>M49</f>
        <v>0.71304115913051325</v>
      </c>
      <c r="E54" s="8">
        <f>(C54-D54)/D54</f>
        <v>0.19475606891472017</v>
      </c>
      <c r="F54" t="str">
        <f>IF(E54&gt;0,"🔼 ","🔽 ")&amp;TEXT(ABS(E54),"0%")&amp;" YoY"</f>
        <v>🔼 19% YoY</v>
      </c>
    </row>
    <row r="55" spans="1:13" x14ac:dyDescent="0.35">
      <c r="A55" t="s">
        <v>2421</v>
      </c>
      <c r="B55" s="6">
        <f>K60</f>
        <v>20.68365553602812</v>
      </c>
      <c r="C55" s="6">
        <f>K59</f>
        <v>19.893023255813954</v>
      </c>
      <c r="D55" s="6">
        <f>K58</f>
        <v>20.403508771929825</v>
      </c>
      <c r="E55" s="8">
        <f>(C55-D55)/D55</f>
        <v>-2.5019496490631683E-2</v>
      </c>
      <c r="F55" t="str">
        <f>IF(E55&gt;0,"🔼 ","🔽 ")&amp;TEXT(ABS(E55),"0%")&amp;" YoY"</f>
        <v>🔽 3% YoY</v>
      </c>
    </row>
    <row r="56" spans="1:13" x14ac:dyDescent="0.35">
      <c r="H56" t="s">
        <v>2404</v>
      </c>
      <c r="J56" s="3" t="s">
        <v>2400</v>
      </c>
      <c r="K56" t="s">
        <v>2404</v>
      </c>
    </row>
    <row r="57" spans="1:13" x14ac:dyDescent="0.35">
      <c r="H57" s="6">
        <v>20.68365553602812</v>
      </c>
      <c r="J57" s="4">
        <v>2022</v>
      </c>
      <c r="K57" s="6">
        <v>21.874316939890711</v>
      </c>
    </row>
    <row r="58" spans="1:13" x14ac:dyDescent="0.35">
      <c r="J58" s="4">
        <v>2023</v>
      </c>
      <c r="K58" s="6">
        <v>20.403508771929825</v>
      </c>
    </row>
    <row r="59" spans="1:13" x14ac:dyDescent="0.35">
      <c r="J59" s="4">
        <v>2024</v>
      </c>
      <c r="K59" s="6">
        <v>19.893023255813954</v>
      </c>
    </row>
    <row r="60" spans="1:13" x14ac:dyDescent="0.35">
      <c r="J60" s="4" t="s">
        <v>2401</v>
      </c>
      <c r="K60" s="6">
        <v>20.68365553602812</v>
      </c>
    </row>
    <row r="61" spans="1:13" x14ac:dyDescent="0.35">
      <c r="A61" t="s">
        <v>2422</v>
      </c>
    </row>
    <row r="62" spans="1:13" x14ac:dyDescent="0.35">
      <c r="A62" s="6">
        <v>200</v>
      </c>
    </row>
  </sheetData>
  <pageMargins left="0.7" right="0.7" top="0.75" bottom="0.75" header="0.3" footer="0.3"/>
  <pageSetup orientation="portrait"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92A22-185C-4AA3-AB77-C2B304630833}">
  <dimension ref="A1:Y51"/>
  <sheetViews>
    <sheetView showGridLines="0" showRowColHeaders="0" tabSelected="1" topLeftCell="A2" zoomScale="75" zoomScaleNormal="75" workbookViewId="0">
      <selection activeCell="Z5" sqref="Z5"/>
    </sheetView>
  </sheetViews>
  <sheetFormatPr defaultRowHeight="14.5" x14ac:dyDescent="0.35"/>
  <sheetData>
    <row r="1" spans="1:25" x14ac:dyDescent="0.35">
      <c r="A1" s="12"/>
      <c r="B1" s="12"/>
      <c r="C1" s="12"/>
      <c r="D1" s="12"/>
      <c r="E1" s="12"/>
      <c r="F1" s="12"/>
      <c r="G1" s="12"/>
      <c r="H1" s="12"/>
      <c r="I1" s="12"/>
      <c r="J1" s="12"/>
      <c r="K1" s="12"/>
      <c r="L1" s="12"/>
      <c r="M1" s="12"/>
      <c r="N1" s="12"/>
      <c r="O1" s="12"/>
      <c r="P1" s="12"/>
      <c r="Q1" s="12"/>
      <c r="R1" s="12"/>
      <c r="S1" s="12"/>
      <c r="T1" s="12"/>
      <c r="U1" s="12"/>
      <c r="V1" s="12"/>
      <c r="W1" s="12"/>
      <c r="X1" s="12"/>
      <c r="Y1" s="12"/>
    </row>
    <row r="2" spans="1:25" x14ac:dyDescent="0.35">
      <c r="A2" s="12"/>
      <c r="B2" s="12"/>
      <c r="C2" s="12"/>
      <c r="D2" s="12"/>
      <c r="E2" s="12"/>
      <c r="F2" s="12"/>
      <c r="G2" s="12"/>
      <c r="H2" s="12"/>
      <c r="I2" s="12"/>
      <c r="J2" s="12"/>
      <c r="K2" s="12"/>
      <c r="L2" s="12"/>
      <c r="M2" s="12"/>
      <c r="N2" s="12"/>
      <c r="O2" s="12"/>
      <c r="P2" s="12"/>
      <c r="Q2" s="12"/>
      <c r="R2" s="12"/>
      <c r="S2" s="12"/>
      <c r="T2" s="12"/>
      <c r="U2" s="12"/>
      <c r="V2" s="12"/>
      <c r="W2" s="12"/>
      <c r="X2" s="12"/>
      <c r="Y2" s="12"/>
    </row>
    <row r="3" spans="1:25" x14ac:dyDescent="0.35">
      <c r="A3" s="12"/>
      <c r="B3" s="12"/>
      <c r="C3" s="12"/>
      <c r="D3" s="12"/>
      <c r="E3" s="12"/>
      <c r="F3" s="12"/>
      <c r="G3" s="12"/>
      <c r="H3" s="12"/>
      <c r="I3" s="12"/>
      <c r="J3" s="12"/>
      <c r="K3" s="12"/>
      <c r="L3" s="12"/>
      <c r="M3" s="12"/>
      <c r="N3" s="12"/>
      <c r="O3" s="12"/>
      <c r="P3" s="12"/>
      <c r="Q3" s="12"/>
      <c r="R3" s="12"/>
      <c r="S3" s="12"/>
      <c r="T3" s="12"/>
      <c r="U3" s="12"/>
      <c r="V3" s="12"/>
      <c r="W3" s="12"/>
      <c r="X3" s="12"/>
      <c r="Y3" s="12"/>
    </row>
    <row r="4" spans="1:25" x14ac:dyDescent="0.35">
      <c r="A4" s="12"/>
      <c r="B4" s="12"/>
      <c r="C4" s="12"/>
      <c r="D4" s="12"/>
      <c r="E4" s="12"/>
      <c r="F4" s="12"/>
      <c r="G4" s="12"/>
      <c r="H4" s="12"/>
      <c r="I4" s="12"/>
      <c r="J4" s="12"/>
      <c r="K4" s="12"/>
      <c r="L4" s="12"/>
      <c r="M4" s="12"/>
      <c r="N4" s="12"/>
      <c r="O4" s="12"/>
      <c r="P4" s="12"/>
      <c r="Q4" s="12"/>
      <c r="R4" s="12"/>
      <c r="S4" s="12"/>
      <c r="T4" s="12"/>
      <c r="U4" s="12"/>
      <c r="V4" s="12"/>
      <c r="W4" s="12"/>
      <c r="X4" s="12"/>
      <c r="Y4" s="12"/>
    </row>
    <row r="5" spans="1:25" x14ac:dyDescent="0.35">
      <c r="A5" s="12"/>
      <c r="B5" s="12"/>
      <c r="C5" s="12"/>
      <c r="D5" s="12"/>
      <c r="E5" s="12"/>
      <c r="F5" s="12"/>
      <c r="G5" s="12"/>
      <c r="H5" s="12"/>
      <c r="I5" s="12"/>
      <c r="J5" s="12"/>
      <c r="K5" s="12"/>
      <c r="L5" s="12"/>
      <c r="M5" s="12"/>
      <c r="N5" s="12"/>
      <c r="O5" s="12"/>
      <c r="P5" s="12"/>
      <c r="Q5" s="12"/>
      <c r="R5" s="12"/>
      <c r="S5" s="12"/>
      <c r="T5" s="12"/>
      <c r="U5" s="12"/>
      <c r="V5" s="12"/>
      <c r="W5" s="12"/>
      <c r="X5" s="12"/>
      <c r="Y5" s="12"/>
    </row>
    <row r="6" spans="1:25" x14ac:dyDescent="0.35">
      <c r="A6" s="12"/>
      <c r="B6" s="12"/>
      <c r="C6" s="12"/>
      <c r="D6" s="12"/>
      <c r="E6" s="12"/>
      <c r="F6" s="12"/>
      <c r="G6" s="12"/>
      <c r="H6" s="12"/>
      <c r="I6" s="12"/>
      <c r="J6" s="12"/>
      <c r="K6" s="12"/>
      <c r="L6" s="12"/>
      <c r="M6" s="12"/>
      <c r="N6" s="12"/>
      <c r="O6" s="12"/>
      <c r="P6" s="12"/>
      <c r="Q6" s="12"/>
      <c r="R6" s="12"/>
      <c r="S6" s="12"/>
      <c r="T6" s="12"/>
      <c r="U6" s="12"/>
      <c r="V6" s="12"/>
      <c r="W6" s="12"/>
      <c r="X6" s="12"/>
      <c r="Y6" s="12"/>
    </row>
    <row r="7" spans="1:25" x14ac:dyDescent="0.35">
      <c r="A7" s="12"/>
      <c r="B7" s="12"/>
      <c r="C7" s="12"/>
      <c r="D7" s="12"/>
      <c r="E7" s="12"/>
      <c r="F7" s="12"/>
      <c r="G7" s="12"/>
      <c r="H7" s="12"/>
      <c r="I7" s="12"/>
      <c r="J7" s="12"/>
      <c r="K7" s="12"/>
      <c r="L7" s="12"/>
      <c r="M7" s="12"/>
      <c r="N7" s="12"/>
      <c r="O7" s="12"/>
      <c r="P7" s="12"/>
      <c r="Q7" s="12"/>
      <c r="R7" s="12"/>
      <c r="S7" s="12"/>
      <c r="T7" s="12"/>
      <c r="U7" s="12"/>
      <c r="V7" s="12"/>
      <c r="W7" s="12"/>
      <c r="X7" s="12"/>
      <c r="Y7" s="12"/>
    </row>
    <row r="8" spans="1:25" x14ac:dyDescent="0.35">
      <c r="A8" s="12"/>
      <c r="B8" s="12"/>
      <c r="C8" s="12"/>
      <c r="D8" s="12"/>
      <c r="E8" s="12"/>
      <c r="F8" s="12"/>
      <c r="G8" s="12"/>
      <c r="H8" s="12"/>
      <c r="I8" s="12"/>
      <c r="J8" s="12"/>
      <c r="K8" s="12"/>
      <c r="L8" s="12"/>
      <c r="M8" s="12"/>
      <c r="N8" s="12"/>
      <c r="O8" s="12"/>
      <c r="P8" s="12"/>
      <c r="Q8" s="12"/>
      <c r="R8" s="12"/>
      <c r="S8" s="12"/>
      <c r="T8" s="12"/>
      <c r="U8" s="12"/>
      <c r="V8" s="12"/>
      <c r="W8" s="12"/>
      <c r="X8" s="12"/>
      <c r="Y8" s="12"/>
    </row>
    <row r="9" spans="1:25" x14ac:dyDescent="0.35">
      <c r="A9" s="12"/>
      <c r="B9" s="12"/>
      <c r="C9" s="12"/>
      <c r="D9" s="12"/>
      <c r="E9" s="12"/>
      <c r="F9" s="12"/>
      <c r="G9" s="12"/>
      <c r="H9" s="12"/>
      <c r="I9" s="12"/>
      <c r="J9" s="12"/>
      <c r="K9" s="12"/>
      <c r="L9" s="12"/>
      <c r="M9" s="12"/>
      <c r="N9" s="12"/>
      <c r="O9" s="12"/>
      <c r="P9" s="12"/>
      <c r="Q9" s="12"/>
      <c r="R9" s="12"/>
      <c r="S9" s="12"/>
      <c r="T9" s="12"/>
      <c r="U9" s="12"/>
      <c r="V9" s="12"/>
      <c r="W9" s="12"/>
      <c r="X9" s="12"/>
      <c r="Y9" s="12"/>
    </row>
    <row r="10" spans="1:25"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row>
    <row r="11" spans="1:25"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row>
    <row r="13" spans="1:25"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row>
    <row r="14" spans="1:25"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row>
    <row r="15" spans="1:25"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row>
    <row r="16" spans="1:25"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row>
    <row r="17" spans="1:25"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row>
    <row r="18" spans="1:25"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row>
    <row r="24" spans="1:25"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row>
    <row r="25" spans="1:25"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row>
    <row r="26" spans="1:25"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row>
    <row r="27" spans="1:25"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row>
    <row r="28" spans="1:25"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row>
    <row r="29" spans="1:25"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row>
    <row r="30" spans="1:25"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row>
    <row r="31" spans="1:25"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row>
    <row r="32" spans="1:25"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row>
    <row r="33" spans="1:25"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row>
    <row r="34" spans="1:25"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row>
    <row r="35" spans="1:25"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row>
    <row r="37" spans="1:25"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row>
    <row r="38" spans="1:25"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row>
    <row r="39" spans="1:25"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row>
    <row r="40" spans="1:25"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row>
    <row r="41" spans="1:25"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row>
    <row r="42" spans="1:25"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row>
    <row r="43" spans="1:25"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row>
    <row r="44" spans="1:25"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row>
    <row r="45" spans="1:25"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row>
    <row r="46" spans="1:25"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row>
    <row r="47" spans="1:25"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row>
    <row r="49" spans="1:25"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row>
    <row r="50" spans="1:25"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row>
    <row r="51" spans="1:25"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D6AD93-B3D8-4660-B051-9FFA1DF06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Customers_data</vt:lpstr>
      <vt:lpstr>Billings_data</vt:lpstr>
      <vt:lpstr>Payment_data</vt:lpstr>
      <vt:lpstr>Pivot_table</vt:lpstr>
      <vt:lpstr>Dashboard</vt:lpstr>
      <vt:lpstr>Average_days_to_pay</vt:lpstr>
      <vt:lpstr>Collection_rate</vt:lpstr>
      <vt:lpstr>Revenue_gap</vt:lpstr>
      <vt:lpstr>Table_Customer</vt:lpstr>
      <vt:lpstr>Total_amount_billed</vt:lpstr>
      <vt:lpstr>Total_amount_paid</vt:lpstr>
      <vt:lpstr>Total_customers</vt:lpstr>
      <vt:lpstr>YoY_averagedays</vt:lpstr>
      <vt:lpstr>YoY_collectionrate</vt:lpstr>
      <vt:lpstr>YoY_revenuegap</vt:lpstr>
      <vt:lpstr>YoY_TotalAmountbilled</vt:lpstr>
      <vt:lpstr>YoY_totalamountpaid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2026-03-20T08:30:30Z</dcterms:created>
  <dcterms:modified xsi:type="dcterms:W3CDTF">2026-04-10T10:55:11Z</dcterms:modified>
</cp:coreProperties>
</file>